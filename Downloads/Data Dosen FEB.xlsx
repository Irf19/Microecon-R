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!Data LPM\!QA Files\!LPM File\!Tugas\Penjaminan Mutu\LPM\2. SPME\1. Akreditasi\8. LAM\LAMEMBA\Man &amp; MI\"/>
    </mc:Choice>
  </mc:AlternateContent>
  <bookViews>
    <workbookView xWindow="0" yWindow="0" windowWidth="20400" windowHeight="5655"/>
  </bookViews>
  <sheets>
    <sheet name="PDDIKTI-2025" sheetId="1" r:id="rId1"/>
  </sheets>
  <definedNames>
    <definedName name="_xlnm._FilterDatabase" localSheetId="0" hidden="1">'PDDIKTI-2025'!$A$2:$M$3</definedName>
    <definedName name="_xlnm.Print_Area" localSheetId="0">'PDDIKTI-2025'!$A$1:$F$45</definedName>
    <definedName name="_xlnm.Print_Titles" localSheetId="0">'PDDIKTI-2025'!$2:$3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1" l="1"/>
  <c r="R32" i="1"/>
  <c r="R47" i="1"/>
  <c r="R37" i="1"/>
  <c r="Q37" i="1"/>
  <c r="Q47" i="1"/>
  <c r="P46" i="1"/>
  <c r="O46" i="1"/>
  <c r="N46" i="1"/>
  <c r="J46" i="1"/>
  <c r="K46" i="1"/>
  <c r="H46" i="1"/>
  <c r="I46" i="1"/>
  <c r="M46" i="1"/>
  <c r="G46" i="1"/>
  <c r="N47" i="1" l="1"/>
  <c r="G47" i="1"/>
  <c r="P31" i="1"/>
  <c r="O31" i="1"/>
  <c r="N31" i="1"/>
  <c r="N32" i="1" s="1"/>
  <c r="M31" i="1"/>
  <c r="K31" i="1"/>
  <c r="J31" i="1"/>
  <c r="I31" i="1"/>
  <c r="H31" i="1"/>
  <c r="G31" i="1"/>
  <c r="P12" i="1"/>
  <c r="O12" i="1"/>
  <c r="N12" i="1"/>
  <c r="M12" i="1"/>
  <c r="K12" i="1"/>
  <c r="J12" i="1"/>
  <c r="I12" i="1"/>
  <c r="H12" i="1"/>
  <c r="G12" i="1"/>
  <c r="Q18" i="1" l="1"/>
  <c r="Q32" i="1"/>
  <c r="G32" i="1"/>
  <c r="R18" i="1"/>
  <c r="G13" i="1"/>
  <c r="Q5" i="1" s="1"/>
  <c r="Q13" i="1" s="1"/>
  <c r="N13" i="1"/>
  <c r="R5" i="1" l="1"/>
</calcChain>
</file>

<file path=xl/sharedStrings.xml><?xml version="1.0" encoding="utf-8"?>
<sst xmlns="http://schemas.openxmlformats.org/spreadsheetml/2006/main" count="188" uniqueCount="140">
  <si>
    <t>DATA DOSEN UMC SESUAI PDDIKTI - TAHUN 2024</t>
  </si>
  <si>
    <t>NO.</t>
  </si>
  <si>
    <t>NIP</t>
  </si>
  <si>
    <t>NIDN</t>
  </si>
  <si>
    <t>NUPTK</t>
  </si>
  <si>
    <t>NAMA</t>
  </si>
  <si>
    <t>JABATAN AKADEMIK TERAKHIR / TMT.</t>
  </si>
  <si>
    <t>JABATAN AKADEMIK</t>
  </si>
  <si>
    <t>SERDIK</t>
  </si>
  <si>
    <t>PENDIDIKAN</t>
  </si>
  <si>
    <t>TP</t>
  </si>
  <si>
    <t>AA</t>
  </si>
  <si>
    <t>L</t>
  </si>
  <si>
    <t>LK</t>
  </si>
  <si>
    <t>GB</t>
  </si>
  <si>
    <t>TAHUN</t>
  </si>
  <si>
    <t>JUMLAH</t>
  </si>
  <si>
    <t>S2</t>
  </si>
  <si>
    <t>S3</t>
  </si>
  <si>
    <t>STUDI S3</t>
  </si>
  <si>
    <t>01. PRODI S2 - MAGISTER MANAJEMEN INOVASI</t>
  </si>
  <si>
    <t>0701096401</t>
  </si>
  <si>
    <t>1233742643130083</t>
  </si>
  <si>
    <t>Prof. Dr. Ir. Stefanus Yufra Menahen Taneo, MS., M.Sc.</t>
  </si>
  <si>
    <t>Guru Besar (922,00) - TMT. 01 Januari 2024</t>
  </si>
  <si>
    <t>0714048004</t>
  </si>
  <si>
    <t>9746758659137142</t>
  </si>
  <si>
    <t>Dr. Liem Gai Sin, SE., M.Bus. (Adv.)</t>
  </si>
  <si>
    <t>Asisten Ahli (150,00) - TMT. 01 Januari 2012</t>
  </si>
  <si>
    <t>0414016102</t>
  </si>
  <si>
    <t>2456739640130042</t>
  </si>
  <si>
    <t>Dr. Seno Aji Wahyono, SE., MM.</t>
  </si>
  <si>
    <t>Lektor (200,00) - TMT. 01 Oktober 2016</t>
  </si>
  <si>
    <t>0702105902</t>
  </si>
  <si>
    <t>5334737638130053</t>
  </si>
  <si>
    <t>Prof. Dr. Pieter Sahertian, M.Si.</t>
  </si>
  <si>
    <t>Guru Besar (916,50) - TMT. 01 Februari 2024</t>
  </si>
  <si>
    <t>0714036503</t>
  </si>
  <si>
    <t>3646743644130072</t>
  </si>
  <si>
    <t>Dr. Margo Mulyono, S.E., M.M.</t>
  </si>
  <si>
    <t>Tenaga Pengajar - TMT. 01 November 2023</t>
  </si>
  <si>
    <t>-</t>
  </si>
  <si>
    <t>0704026903</t>
  </si>
  <si>
    <t>4536747648130142</t>
  </si>
  <si>
    <t xml:space="preserve">Dr. Wiston Manihuruk, SE., M.Si., MM. </t>
  </si>
  <si>
    <t>Tenaga Pengajar - 01 Agustus 2018</t>
  </si>
  <si>
    <t>0712107801</t>
  </si>
  <si>
    <t>Dr.Eng. Hendrik Oktendy Lintang, S.Si., M.Eng.</t>
  </si>
  <si>
    <t>Lektor (200) - TMT. 14 November 2018</t>
  </si>
  <si>
    <t>JUMLAH:</t>
  </si>
  <si>
    <t xml:space="preserve">02. PRODI MANAJEMEN </t>
  </si>
  <si>
    <t>0711046102</t>
  </si>
  <si>
    <t>7743739640137072</t>
  </si>
  <si>
    <t>Peter Remy Yosy Pasla, SE., M.Bus.</t>
  </si>
  <si>
    <t>Lektor (237,25) - TMT. 01 April 2012</t>
  </si>
  <si>
    <t>0714127202</t>
  </si>
  <si>
    <t>7546750651230113</t>
  </si>
  <si>
    <t>Prof. Dr. Anna Triwijayati, SE., M.Si.</t>
  </si>
  <si>
    <t>Guru Besar - TMT. 01 Desember 2024</t>
  </si>
  <si>
    <r>
      <rPr>
        <sz val="9"/>
        <rFont val="Calibri Light"/>
        <family val="1"/>
        <scheme val="major"/>
      </rPr>
      <t>8957301024</t>
    </r>
  </si>
  <si>
    <t>1857737638130092</t>
  </si>
  <si>
    <t>Sahala Manalu, SE., MM.</t>
  </si>
  <si>
    <t>Lektor (265,50) - TMT. 01 Januari 2015</t>
  </si>
  <si>
    <t>0705117804</t>
  </si>
  <si>
    <t>5437756658200003</t>
  </si>
  <si>
    <t>Felik Sad Windu Wisnu Broto, SS., M.Hum.</t>
  </si>
  <si>
    <t>Asisten Ahli (150,00) - TMT. 13 Februari 2019</t>
  </si>
  <si>
    <t>0718098103</t>
  </si>
  <si>
    <t>8250759660130153</t>
  </si>
  <si>
    <t>Uki Yonda Asepta, SE., MM.</t>
  </si>
  <si>
    <t>Lektor (213,00) - TMT. 01 Juli 2023</t>
  </si>
  <si>
    <t>0722018505</t>
  </si>
  <si>
    <t>4454763664230152</t>
  </si>
  <si>
    <t>Erica Adriana, SE., MM.</t>
  </si>
  <si>
    <t>Asisten Ahli (150,00) - TMT. 01 Juli 2023</t>
  </si>
  <si>
    <t>0715048603</t>
  </si>
  <si>
    <t>0747764665237012</t>
  </si>
  <si>
    <t>Catharina Aprilia Hellyani, SE., MM.</t>
  </si>
  <si>
    <t>Asisten Ahli (150,00)  - TMT. 01 Januari 2023</t>
  </si>
  <si>
    <t>0727108007</t>
  </si>
  <si>
    <t>3359758659230153</t>
  </si>
  <si>
    <t>Santi Widyaningrum, S.P., M.B.A.</t>
  </si>
  <si>
    <t>Tenaga Pengajar - TMT. 01 September 2020</t>
  </si>
  <si>
    <t>0707079004</t>
  </si>
  <si>
    <t>0039768669130413</t>
  </si>
  <si>
    <t>Hartomy Akbar Basory, S.E., M.Sc.</t>
  </si>
  <si>
    <t>Tenaga Pengajar - TMT. 01 Juli 2022</t>
  </si>
  <si>
    <t>0712079602</t>
  </si>
  <si>
    <t>2044774675130253</t>
  </si>
  <si>
    <t>Teofilus Karnalim, S.M., M.Ec.Dev.</t>
  </si>
  <si>
    <t>Tenaga Pengajar - TMT. 18 September 2023</t>
  </si>
  <si>
    <t>1540774675130202</t>
  </si>
  <si>
    <t>I Gusti Ngurah Agung Arya Bhakta Narayana, S.M., M.M.</t>
  </si>
  <si>
    <t>Tenaga Pengajar - TMT. 01 Oktober 2023</t>
  </si>
  <si>
    <t>0708078001</t>
  </si>
  <si>
    <t>Rony Joyo Negoro Octavianus, S.Sos., MM.</t>
  </si>
  <si>
    <t>Asisten Ahli (150,00) - TMT. 01 April 2016</t>
  </si>
  <si>
    <t>9904017986</t>
  </si>
  <si>
    <t>Adi Gunawan Manikam Shahaan, S.Si., MM.</t>
  </si>
  <si>
    <t>NUP - Dosen Tidak Tetap</t>
  </si>
  <si>
    <t>03. PRODI AKUNTANSI</t>
  </si>
  <si>
    <t>0718087102</t>
  </si>
  <si>
    <t>6150749650130153</t>
  </si>
  <si>
    <t>Daniel Sugama Stephanus, SE., MM., MSA., Ak.</t>
  </si>
  <si>
    <t>Lektor (327,25) - TMT. 31 Desember 2009</t>
  </si>
  <si>
    <t>0718098301</t>
  </si>
  <si>
    <t>7250761662130163</t>
  </si>
  <si>
    <t>Tarsisius Renald Suganda, SE., M.Si., Ph.D., CRA.</t>
  </si>
  <si>
    <t>Lektor (280,00) - TMT. 01 Juli 2015</t>
  </si>
  <si>
    <t>0712028302</t>
  </si>
  <si>
    <t>9544761662230242</t>
  </si>
  <si>
    <t>Dian Wijayanti, SE., M.Sc.</t>
  </si>
  <si>
    <t>Lektor (374,09) - TMT. 24 Mei 2021</t>
  </si>
  <si>
    <t>0718049401</t>
  </si>
  <si>
    <t>4750772673130262</t>
  </si>
  <si>
    <t>Rino Tam Cahyadi, S.E., M.S.A.</t>
  </si>
  <si>
    <t>Asisten Ahli (150,00) - TMT. 01 April 2022</t>
  </si>
  <si>
    <t>0717059801</t>
  </si>
  <si>
    <t>9849776677130122</t>
  </si>
  <si>
    <t>Bagas Brian Pratama, S.Tr.Ak., M.Tr.Ak.</t>
  </si>
  <si>
    <t>Tenaga Pengajar - TMT. 01 Januari 2023</t>
  </si>
  <si>
    <t>0720037401</t>
  </si>
  <si>
    <t>7652752653130102</t>
  </si>
  <si>
    <t>Dr. Putu Indrajaya Lembut, SE., M.Si.</t>
  </si>
  <si>
    <t>Asisten Ahli (150,00) - TMT. 01 April 2009</t>
  </si>
  <si>
    <t>0717036601</t>
  </si>
  <si>
    <t>Yuswanto, S.Pd., MSA.</t>
  </si>
  <si>
    <t>Lektor Kepala (602,25) - TMT. 01 Desember 2006</t>
  </si>
  <si>
    <t>0719069801</t>
  </si>
  <si>
    <t>6951776677130082</t>
  </si>
  <si>
    <t>Audito Aji Anugrah, S.E., M.M.</t>
  </si>
  <si>
    <t>Tenaga Pengajar - TMT. 23 Oktober 2023</t>
  </si>
  <si>
    <t>0723078208</t>
  </si>
  <si>
    <t>0055760661230203</t>
  </si>
  <si>
    <t>Fitri Oktariani, SE., MSA., Ak.</t>
  </si>
  <si>
    <t>Asisten Ahli (150,00) - TMT. 12 Desember 2019</t>
  </si>
  <si>
    <t>T.5</t>
  </si>
  <si>
    <t>Doktor</t>
  </si>
  <si>
    <r>
      <t xml:space="preserve">Lektor </t>
    </r>
    <r>
      <rPr>
        <b/>
        <sz val="9"/>
        <rFont val="Calibri"/>
        <family val="2"/>
      </rPr>
      <t xml:space="preserve">≥ </t>
    </r>
    <r>
      <rPr>
        <b/>
        <sz val="8.1"/>
        <rFont val="Calibri Light"/>
        <family val="2"/>
      </rPr>
      <t>40%</t>
    </r>
  </si>
  <si>
    <r>
      <t xml:space="preserve">LK </t>
    </r>
    <r>
      <rPr>
        <b/>
        <sz val="9"/>
        <rFont val="Calibri"/>
        <family val="2"/>
      </rPr>
      <t xml:space="preserve">≥ </t>
    </r>
    <r>
      <rPr>
        <b/>
        <sz val="8.1"/>
        <rFont val="Calibri Light"/>
        <family val="2"/>
      </rPr>
      <t>40%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</si>
</sst>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9"/>
      <name val="Calibri Light"/>
      <family val="1"/>
      <scheme val="major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sz val="9"/>
      <name val="Cambria"/>
      <family val="1"/>
    </font>
    <font>
      <sz val="9"/>
      <color rgb="FFC00000"/>
      <name val="Calibri Light"/>
      <family val="1"/>
      <scheme val="major"/>
    </font>
    <font>
      <b/>
      <sz val="9"/>
      <name val="Calibri Light"/>
      <family val="2"/>
      <scheme val="major"/>
    </font>
    <font>
      <i/>
      <sz val="9"/>
      <name val="Calibri Light"/>
      <family val="2"/>
      <scheme val="major"/>
    </font>
    <font>
      <b/>
      <sz val="9"/>
      <name val="Calibri"/>
      <family val="2"/>
    </font>
    <font>
      <b/>
      <sz val="8.1"/>
      <name val="Calibri Light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4" fillId="0" borderId="0" xfId="2"/>
    <xf numFmtId="0" fontId="6" fillId="0" borderId="0" xfId="2" applyFont="1"/>
    <xf numFmtId="0" fontId="5" fillId="2" borderId="7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3" borderId="7" xfId="3" applyFont="1" applyFill="1" applyBorder="1" applyAlignment="1">
      <alignment horizontal="left"/>
    </xf>
    <xf numFmtId="0" fontId="6" fillId="3" borderId="8" xfId="3" applyFont="1" applyFill="1" applyBorder="1"/>
    <xf numFmtId="0" fontId="6" fillId="0" borderId="2" xfId="3" quotePrefix="1" applyFont="1" applyBorder="1" applyAlignment="1">
      <alignment horizontal="center" vertical="top"/>
    </xf>
    <xf numFmtId="0" fontId="6" fillId="0" borderId="2" xfId="3" applyFont="1" applyBorder="1" applyAlignment="1">
      <alignment vertical="top"/>
    </xf>
    <xf numFmtId="0" fontId="6" fillId="0" borderId="2" xfId="3" quotePrefix="1" applyFont="1" applyBorder="1" applyAlignment="1">
      <alignment vertical="top"/>
    </xf>
    <xf numFmtId="0" fontId="6" fillId="0" borderId="4" xfId="3" applyFont="1" applyBorder="1" applyAlignment="1">
      <alignment horizontal="center" vertical="top"/>
    </xf>
    <xf numFmtId="0" fontId="6" fillId="0" borderId="2" xfId="3" applyFont="1" applyBorder="1" applyAlignment="1">
      <alignment horizontal="center" vertical="top"/>
    </xf>
    <xf numFmtId="0" fontId="6" fillId="0" borderId="0" xfId="2" applyFont="1" applyAlignment="1">
      <alignment vertical="top"/>
    </xf>
    <xf numFmtId="0" fontId="6" fillId="0" borderId="2" xfId="2" quotePrefix="1" applyFont="1" applyBorder="1" applyAlignment="1">
      <alignment horizontal="center" vertical="top"/>
    </xf>
    <xf numFmtId="0" fontId="6" fillId="0" borderId="0" xfId="2" quotePrefix="1" applyFont="1" applyAlignment="1">
      <alignment horizontal="center" vertical="top"/>
    </xf>
    <xf numFmtId="0" fontId="6" fillId="0" borderId="2" xfId="2" applyFont="1" applyBorder="1" applyAlignment="1">
      <alignment vertical="top"/>
    </xf>
    <xf numFmtId="0" fontId="6" fillId="0" borderId="2" xfId="1" applyFont="1" applyBorder="1" applyAlignment="1">
      <alignment vertical="top"/>
    </xf>
    <xf numFmtId="0" fontId="6" fillId="0" borderId="9" xfId="1" applyFont="1" applyBorder="1" applyAlignment="1">
      <alignment horizontal="center" vertical="top"/>
    </xf>
    <xf numFmtId="0" fontId="6" fillId="0" borderId="9" xfId="1" quotePrefix="1" applyFont="1" applyBorder="1" applyAlignment="1">
      <alignment horizontal="center" vertical="top"/>
    </xf>
    <xf numFmtId="0" fontId="6" fillId="0" borderId="10" xfId="1" quotePrefix="1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7" fillId="0" borderId="2" xfId="4" quotePrefix="1" applyFont="1" applyBorder="1" applyAlignment="1">
      <alignment vertical="top"/>
    </xf>
    <xf numFmtId="0" fontId="7" fillId="0" borderId="2" xfId="4" quotePrefix="1" applyFont="1" applyBorder="1" applyAlignment="1">
      <alignment horizontal="center" vertical="top"/>
    </xf>
    <xf numFmtId="0" fontId="8" fillId="0" borderId="2" xfId="3" quotePrefix="1" applyFont="1" applyBorder="1" applyAlignment="1">
      <alignment horizontal="center" vertical="top"/>
    </xf>
    <xf numFmtId="0" fontId="8" fillId="0" borderId="2" xfId="3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7" fillId="0" borderId="3" xfId="4" quotePrefix="1" applyFont="1" applyBorder="1" applyAlignment="1">
      <alignment vertical="top"/>
    </xf>
    <xf numFmtId="0" fontId="6" fillId="0" borderId="8" xfId="3" applyFont="1" applyBorder="1" applyAlignment="1">
      <alignment horizontal="center" vertical="top"/>
    </xf>
    <xf numFmtId="0" fontId="6" fillId="0" borderId="7" xfId="3" applyFont="1" applyBorder="1" applyAlignment="1">
      <alignment horizontal="center" vertical="top"/>
    </xf>
    <xf numFmtId="0" fontId="6" fillId="4" borderId="2" xfId="3" quotePrefix="1" applyFont="1" applyFill="1" applyBorder="1" applyAlignment="1">
      <alignment horizontal="center" vertical="top"/>
    </xf>
    <xf numFmtId="0" fontId="6" fillId="4" borderId="2" xfId="3" applyFont="1" applyFill="1" applyBorder="1" applyAlignment="1">
      <alignment vertical="top"/>
    </xf>
    <xf numFmtId="0" fontId="6" fillId="4" borderId="2" xfId="0" applyFont="1" applyFill="1" applyBorder="1" applyAlignment="1">
      <alignment vertical="top"/>
    </xf>
    <xf numFmtId="0" fontId="6" fillId="4" borderId="2" xfId="0" quotePrefix="1" applyFont="1" applyFill="1" applyBorder="1" applyAlignment="1">
      <alignment horizontal="center" vertical="top"/>
    </xf>
    <xf numFmtId="0" fontId="7" fillId="0" borderId="2" xfId="5" quotePrefix="1" applyFont="1" applyBorder="1" applyAlignment="1">
      <alignment vertical="top"/>
    </xf>
    <xf numFmtId="0" fontId="6" fillId="5" borderId="2" xfId="3" quotePrefix="1" applyFont="1" applyFill="1" applyBorder="1" applyAlignment="1">
      <alignment horizontal="center" vertical="top"/>
    </xf>
    <xf numFmtId="0" fontId="6" fillId="5" borderId="2" xfId="6" applyFont="1" applyFill="1" applyBorder="1" applyAlignment="1">
      <alignment vertical="top"/>
    </xf>
    <xf numFmtId="0" fontId="5" fillId="0" borderId="4" xfId="3" applyFont="1" applyBorder="1" applyAlignment="1">
      <alignment horizontal="left" vertical="top"/>
    </xf>
    <xf numFmtId="0" fontId="5" fillId="0" borderId="5" xfId="3" applyFont="1" applyBorder="1" applyAlignment="1">
      <alignment horizontal="left" vertical="top"/>
    </xf>
    <xf numFmtId="0" fontId="5" fillId="0" borderId="5" xfId="3" applyFont="1" applyBorder="1" applyAlignment="1">
      <alignment horizontal="right" vertical="top"/>
    </xf>
    <xf numFmtId="0" fontId="5" fillId="6" borderId="2" xfId="3" applyFont="1" applyFill="1" applyBorder="1" applyAlignment="1">
      <alignment horizontal="center" vertical="top"/>
    </xf>
    <xf numFmtId="0" fontId="6" fillId="0" borderId="11" xfId="3" applyFont="1" applyBorder="1" applyAlignment="1">
      <alignment vertical="top"/>
    </xf>
    <xf numFmtId="0" fontId="6" fillId="0" borderId="12" xfId="3" applyFont="1" applyBorder="1" applyAlignment="1">
      <alignment vertical="top"/>
    </xf>
    <xf numFmtId="0" fontId="5" fillId="7" borderId="2" xfId="3" applyFont="1" applyFill="1" applyBorder="1" applyAlignment="1">
      <alignment horizontal="center" vertical="top"/>
    </xf>
    <xf numFmtId="0" fontId="6" fillId="0" borderId="11" xfId="3" applyFont="1" applyBorder="1" applyAlignment="1">
      <alignment horizontal="center" vertical="top"/>
    </xf>
    <xf numFmtId="0" fontId="5" fillId="8" borderId="2" xfId="3" applyFont="1" applyFill="1" applyBorder="1" applyAlignment="1">
      <alignment horizontal="center" vertical="top"/>
    </xf>
    <xf numFmtId="0" fontId="5" fillId="4" borderId="2" xfId="3" applyFont="1" applyFill="1" applyBorder="1" applyAlignment="1">
      <alignment horizontal="center" vertical="top"/>
    </xf>
    <xf numFmtId="0" fontId="5" fillId="3" borderId="7" xfId="3" applyFont="1" applyFill="1" applyBorder="1" applyAlignment="1">
      <alignment horizontal="left" vertical="top"/>
    </xf>
    <xf numFmtId="0" fontId="6" fillId="3" borderId="8" xfId="3" applyFont="1" applyFill="1" applyBorder="1" applyAlignment="1">
      <alignment vertical="top"/>
    </xf>
    <xf numFmtId="0" fontId="7" fillId="0" borderId="2" xfId="5" applyFont="1" applyBorder="1" applyAlignment="1">
      <alignment vertical="top"/>
    </xf>
    <xf numFmtId="0" fontId="7" fillId="0" borderId="2" xfId="5" applyFont="1" applyBorder="1" applyAlignment="1">
      <alignment horizontal="left" vertical="top"/>
    </xf>
    <xf numFmtId="0" fontId="7" fillId="0" borderId="2" xfId="5" quotePrefix="1" applyFont="1" applyBorder="1" applyAlignment="1">
      <alignment horizontal="left" vertical="top"/>
    </xf>
    <xf numFmtId="0" fontId="7" fillId="0" borderId="2" xfId="5" applyFont="1" applyBorder="1" applyAlignment="1">
      <alignment horizontal="center" vertical="top"/>
    </xf>
    <xf numFmtId="0" fontId="6" fillId="0" borderId="4" xfId="3" applyFont="1" applyBorder="1" applyAlignment="1">
      <alignment horizontal="left" vertical="top"/>
    </xf>
    <xf numFmtId="0" fontId="9" fillId="0" borderId="2" xfId="3" quotePrefix="1" applyFont="1" applyBorder="1" applyAlignment="1">
      <alignment horizontal="center" vertical="top"/>
    </xf>
    <xf numFmtId="0" fontId="6" fillId="0" borderId="13" xfId="1" applyFont="1" applyBorder="1" applyAlignment="1">
      <alignment vertical="top"/>
    </xf>
    <xf numFmtId="0" fontId="6" fillId="0" borderId="13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  <xf numFmtId="0" fontId="6" fillId="0" borderId="7" xfId="2" applyFont="1" applyBorder="1" applyAlignment="1">
      <alignment horizontal="center" vertical="top"/>
    </xf>
    <xf numFmtId="0" fontId="6" fillId="0" borderId="7" xfId="2" quotePrefix="1" applyFont="1" applyBorder="1" applyAlignment="1">
      <alignment horizontal="center" vertical="top"/>
    </xf>
    <xf numFmtId="0" fontId="6" fillId="0" borderId="7" xfId="2" applyFont="1" applyBorder="1" applyAlignment="1">
      <alignment vertical="top"/>
    </xf>
    <xf numFmtId="0" fontId="6" fillId="0" borderId="10" xfId="2" applyFont="1" applyBorder="1" applyAlignment="1">
      <alignment horizontal="center" vertical="top"/>
    </xf>
    <xf numFmtId="0" fontId="6" fillId="0" borderId="10" xfId="2" quotePrefix="1" applyFont="1" applyBorder="1" applyAlignment="1">
      <alignment horizontal="center" vertical="top"/>
    </xf>
    <xf numFmtId="0" fontId="6" fillId="0" borderId="9" xfId="2" applyFont="1" applyBorder="1" applyAlignment="1">
      <alignment vertical="top"/>
    </xf>
    <xf numFmtId="0" fontId="7" fillId="0" borderId="3" xfId="4" quotePrefix="1" applyFont="1" applyBorder="1" applyAlignment="1">
      <alignment horizontal="center" vertical="top"/>
    </xf>
    <xf numFmtId="0" fontId="7" fillId="0" borderId="11" xfId="4" quotePrefix="1" applyFont="1" applyBorder="1" applyAlignment="1">
      <alignment horizontal="center" vertical="top"/>
    </xf>
    <xf numFmtId="0" fontId="6" fillId="0" borderId="5" xfId="2" quotePrefix="1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6" fillId="0" borderId="2" xfId="0" quotePrefix="1" applyFont="1" applyBorder="1" applyAlignment="1">
      <alignment horizontal="center" vertical="top"/>
    </xf>
    <xf numFmtId="0" fontId="7" fillId="0" borderId="12" xfId="4" quotePrefix="1" applyFont="1" applyBorder="1" applyAlignment="1">
      <alignment horizontal="center" vertical="top"/>
    </xf>
    <xf numFmtId="0" fontId="6" fillId="5" borderId="2" xfId="0" applyFont="1" applyFill="1" applyBorder="1" applyAlignment="1">
      <alignment vertical="top"/>
    </xf>
    <xf numFmtId="0" fontId="6" fillId="5" borderId="2" xfId="0" quotePrefix="1" applyFont="1" applyFill="1" applyBorder="1" applyAlignment="1">
      <alignment vertical="top"/>
    </xf>
    <xf numFmtId="0" fontId="7" fillId="5" borderId="2" xfId="4" quotePrefix="1" applyFont="1" applyFill="1" applyBorder="1" applyAlignment="1">
      <alignment horizontal="center" vertical="top"/>
    </xf>
    <xf numFmtId="0" fontId="7" fillId="5" borderId="12" xfId="4" quotePrefix="1" applyFont="1" applyFill="1" applyBorder="1" applyAlignment="1">
      <alignment horizontal="center" vertical="top"/>
    </xf>
    <xf numFmtId="0" fontId="7" fillId="5" borderId="11" xfId="4" quotePrefix="1" applyFont="1" applyFill="1" applyBorder="1" applyAlignment="1">
      <alignment horizontal="center" vertical="top"/>
    </xf>
    <xf numFmtId="0" fontId="7" fillId="5" borderId="3" xfId="4" quotePrefix="1" applyFont="1" applyFill="1" applyBorder="1" applyAlignment="1">
      <alignment horizontal="center" vertical="top"/>
    </xf>
    <xf numFmtId="0" fontId="6" fillId="5" borderId="2" xfId="0" quotePrefix="1" applyFont="1" applyFill="1" applyBorder="1" applyAlignment="1">
      <alignment horizontal="center" vertical="top"/>
    </xf>
    <xf numFmtId="0" fontId="7" fillId="9" borderId="2" xfId="5" quotePrefix="1" applyFont="1" applyFill="1" applyBorder="1" applyAlignment="1">
      <alignment vertical="top"/>
    </xf>
    <xf numFmtId="0" fontId="7" fillId="9" borderId="2" xfId="4" quotePrefix="1" applyFont="1" applyFill="1" applyBorder="1" applyAlignment="1">
      <alignment horizontal="center" vertical="top"/>
    </xf>
    <xf numFmtId="0" fontId="7" fillId="9" borderId="12" xfId="4" quotePrefix="1" applyFont="1" applyFill="1" applyBorder="1" applyAlignment="1">
      <alignment horizontal="center" vertical="top"/>
    </xf>
    <xf numFmtId="0" fontId="7" fillId="9" borderId="11" xfId="4" quotePrefix="1" applyFont="1" applyFill="1" applyBorder="1" applyAlignment="1">
      <alignment horizontal="center" vertical="top"/>
    </xf>
    <xf numFmtId="0" fontId="7" fillId="9" borderId="3" xfId="4" quotePrefix="1" applyFont="1" applyFill="1" applyBorder="1" applyAlignment="1">
      <alignment horizontal="center" vertical="top"/>
    </xf>
    <xf numFmtId="0" fontId="5" fillId="4" borderId="4" xfId="3" applyFont="1" applyFill="1" applyBorder="1" applyAlignment="1">
      <alignment horizontal="center" vertical="top"/>
    </xf>
    <xf numFmtId="0" fontId="7" fillId="0" borderId="2" xfId="5" quotePrefix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 wrapText="1"/>
    </xf>
    <xf numFmtId="0" fontId="6" fillId="0" borderId="12" xfId="3" quotePrefix="1" applyFont="1" applyBorder="1" applyAlignment="1">
      <alignment horizontal="center" vertical="top"/>
    </xf>
    <xf numFmtId="0" fontId="6" fillId="0" borderId="11" xfId="3" quotePrefix="1" applyFont="1" applyBorder="1" applyAlignment="1">
      <alignment horizontal="center" vertical="top"/>
    </xf>
    <xf numFmtId="0" fontId="6" fillId="0" borderId="3" xfId="3" quotePrefix="1" applyFont="1" applyBorder="1" applyAlignment="1">
      <alignment horizontal="center" vertical="top"/>
    </xf>
    <xf numFmtId="0" fontId="6" fillId="5" borderId="2" xfId="3" applyFont="1" applyFill="1" applyBorder="1" applyAlignment="1">
      <alignment vertical="top"/>
    </xf>
    <xf numFmtId="0" fontId="7" fillId="5" borderId="2" xfId="5" quotePrefix="1" applyFont="1" applyFill="1" applyBorder="1" applyAlignment="1">
      <alignment horizontal="left" vertical="top"/>
    </xf>
    <xf numFmtId="0" fontId="6" fillId="5" borderId="12" xfId="3" quotePrefix="1" applyFont="1" applyFill="1" applyBorder="1" applyAlignment="1">
      <alignment horizontal="center" vertical="top"/>
    </xf>
    <xf numFmtId="0" fontId="7" fillId="5" borderId="2" xfId="5" quotePrefix="1" applyFont="1" applyFill="1" applyBorder="1" applyAlignment="1">
      <alignment horizontal="center" vertical="top"/>
    </xf>
    <xf numFmtId="0" fontId="6" fillId="5" borderId="3" xfId="3" quotePrefix="1" applyFont="1" applyFill="1" applyBorder="1" applyAlignment="1">
      <alignment horizontal="center" vertical="top"/>
    </xf>
    <xf numFmtId="0" fontId="6" fillId="5" borderId="2" xfId="3" quotePrefix="1" applyFont="1" applyFill="1" applyBorder="1" applyAlignment="1">
      <alignment vertical="top"/>
    </xf>
    <xf numFmtId="0" fontId="6" fillId="5" borderId="5" xfId="2" quotePrefix="1" applyFont="1" applyFill="1" applyBorder="1" applyAlignment="1">
      <alignment horizontal="center" vertical="top"/>
    </xf>
    <xf numFmtId="0" fontId="6" fillId="5" borderId="2" xfId="2" quotePrefix="1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left" vertical="top" wrapText="1"/>
    </xf>
    <xf numFmtId="0" fontId="7" fillId="5" borderId="3" xfId="4" quotePrefix="1" applyFont="1" applyFill="1" applyBorder="1" applyAlignment="1">
      <alignment vertical="top"/>
    </xf>
    <xf numFmtId="0" fontId="6" fillId="5" borderId="11" xfId="3" quotePrefix="1" applyFont="1" applyFill="1" applyBorder="1" applyAlignment="1">
      <alignment horizontal="center" vertical="top"/>
    </xf>
    <xf numFmtId="0" fontId="6" fillId="5" borderId="2" xfId="2" applyFont="1" applyFill="1" applyBorder="1" applyAlignment="1">
      <alignment horizontal="center" vertical="top"/>
    </xf>
    <xf numFmtId="0" fontId="6" fillId="5" borderId="2" xfId="2" applyFont="1" applyFill="1" applyBorder="1" applyAlignment="1">
      <alignment vertical="top"/>
    </xf>
    <xf numFmtId="0" fontId="6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9" fontId="6" fillId="0" borderId="0" xfId="9" applyFont="1"/>
    <xf numFmtId="0" fontId="5" fillId="0" borderId="8" xfId="3" applyFont="1" applyBorder="1" applyAlignment="1">
      <alignment horizontal="left" vertical="top"/>
    </xf>
    <xf numFmtId="0" fontId="5" fillId="0" borderId="1" xfId="3" applyFont="1" applyBorder="1" applyAlignment="1">
      <alignment horizontal="left" vertical="top"/>
    </xf>
    <xf numFmtId="0" fontId="5" fillId="0" borderId="1" xfId="3" applyFont="1" applyBorder="1" applyAlignment="1">
      <alignment horizontal="right" vertical="top"/>
    </xf>
    <xf numFmtId="0" fontId="6" fillId="0" borderId="0" xfId="3" applyFont="1" applyBorder="1" applyAlignment="1">
      <alignment vertical="top"/>
    </xf>
    <xf numFmtId="0" fontId="10" fillId="0" borderId="2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9" fontId="10" fillId="0" borderId="3" xfId="9" applyFont="1" applyBorder="1" applyAlignment="1">
      <alignment horizontal="center" vertical="center"/>
    </xf>
    <xf numFmtId="9" fontId="10" fillId="0" borderId="10" xfId="9" applyFont="1" applyBorder="1" applyAlignment="1">
      <alignment horizontal="center" vertical="center"/>
    </xf>
    <xf numFmtId="9" fontId="10" fillId="0" borderId="7" xfId="9" applyFont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0" fontId="5" fillId="8" borderId="8" xfId="3" applyFont="1" applyFill="1" applyBorder="1" applyAlignment="1">
      <alignment horizontal="center" vertical="center"/>
    </xf>
    <xf numFmtId="0" fontId="5" fillId="6" borderId="4" xfId="3" applyFont="1" applyFill="1" applyBorder="1" applyAlignment="1">
      <alignment horizontal="center" vertical="center"/>
    </xf>
    <xf numFmtId="0" fontId="5" fillId="6" borderId="6" xfId="3" applyFont="1" applyFill="1" applyBorder="1" applyAlignment="1">
      <alignment horizontal="center" vertical="center"/>
    </xf>
    <xf numFmtId="0" fontId="5" fillId="4" borderId="8" xfId="3" applyFont="1" applyFill="1" applyBorder="1" applyAlignment="1">
      <alignment horizontal="center" vertical="center"/>
    </xf>
    <xf numFmtId="9" fontId="11" fillId="0" borderId="8" xfId="9" applyFont="1" applyBorder="1" applyAlignment="1">
      <alignment horizontal="center" vertical="center"/>
    </xf>
    <xf numFmtId="9" fontId="11" fillId="0" borderId="2" xfId="9" applyFont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/>
    </xf>
    <xf numFmtId="0" fontId="10" fillId="3" borderId="5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0" fontId="7" fillId="0" borderId="4" xfId="5" applyFont="1" applyBorder="1" applyAlignment="1">
      <alignment horizontal="center" vertical="top"/>
    </xf>
    <xf numFmtId="0" fontId="7" fillId="0" borderId="4" xfId="4" quotePrefix="1" applyFont="1" applyBorder="1" applyAlignment="1">
      <alignment horizontal="center" vertical="top"/>
    </xf>
    <xf numFmtId="0" fontId="7" fillId="0" borderId="13" xfId="4" quotePrefix="1" applyFont="1" applyBorder="1" applyAlignment="1">
      <alignment horizontal="center" vertical="top"/>
    </xf>
    <xf numFmtId="0" fontId="7" fillId="5" borderId="13" xfId="4" quotePrefix="1" applyFont="1" applyFill="1" applyBorder="1" applyAlignment="1">
      <alignment horizontal="center" vertical="top"/>
    </xf>
    <xf numFmtId="0" fontId="7" fillId="9" borderId="13" xfId="4" quotePrefix="1" applyFont="1" applyFill="1" applyBorder="1" applyAlignment="1">
      <alignment horizontal="center" vertical="top"/>
    </xf>
    <xf numFmtId="9" fontId="10" fillId="0" borderId="2" xfId="9" applyFont="1" applyBorder="1" applyAlignment="1">
      <alignment horizontal="center" vertical="center"/>
    </xf>
  </cellXfs>
  <cellStyles count="10">
    <cellStyle name="Normal" xfId="0" builtinId="0"/>
    <cellStyle name="Normal 10 2" xfId="2"/>
    <cellStyle name="Normal 2 2 2 2 3" xfId="4"/>
    <cellStyle name="Normal 2 2 4 2 2" xfId="5"/>
    <cellStyle name="Normal 2 2 7 2" xfId="7"/>
    <cellStyle name="Normal 2 2 8" xfId="8"/>
    <cellStyle name="Normal 2 37" xfId="3"/>
    <cellStyle name="Normal 28 3" xfId="1"/>
    <cellStyle name="Normal 56" xfId="6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8"/>
  <sheetViews>
    <sheetView showGridLines="0" tabSelected="1" topLeftCell="A28" zoomScale="90" zoomScaleNormal="90" workbookViewId="0">
      <selection activeCell="T45" sqref="T45"/>
    </sheetView>
  </sheetViews>
  <sheetFormatPr defaultColWidth="9.140625" defaultRowHeight="12.75"/>
  <cols>
    <col min="1" max="1" width="4.5703125" style="105" customWidth="1"/>
    <col min="2" max="2" width="9" style="105" customWidth="1"/>
    <col min="3" max="3" width="11" style="105" bestFit="1" customWidth="1"/>
    <col min="4" max="4" width="17.28515625" style="105" bestFit="1" customWidth="1"/>
    <col min="5" max="5" width="41.28515625" style="3" bestFit="1" customWidth="1"/>
    <col min="6" max="6" width="39.140625" style="3" hidden="1" customWidth="1"/>
    <col min="7" max="7" width="3" style="3" bestFit="1" customWidth="1"/>
    <col min="8" max="8" width="3.28515625" style="3" bestFit="1" customWidth="1"/>
    <col min="9" max="9" width="2" style="3" bestFit="1" customWidth="1"/>
    <col min="10" max="10" width="2.85546875" style="3" bestFit="1" customWidth="1"/>
    <col min="11" max="11" width="3.28515625" style="3" bestFit="1" customWidth="1"/>
    <col min="12" max="12" width="8.5703125" style="3" hidden="1" customWidth="1"/>
    <col min="13" max="13" width="11" style="3" hidden="1" customWidth="1"/>
    <col min="14" max="14" width="3" style="3" bestFit="1" customWidth="1"/>
    <col min="15" max="15" width="2.85546875" style="3" bestFit="1" customWidth="1"/>
    <col min="16" max="16" width="8.28515625" style="3" bestFit="1" customWidth="1"/>
    <col min="17" max="17" width="9.140625" style="3"/>
    <col min="18" max="18" width="12.140625" style="3" bestFit="1" customWidth="1"/>
    <col min="19" max="16384" width="9.140625" style="3"/>
  </cols>
  <sheetData>
    <row r="1" spans="1:18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8" s="4" customFormat="1" ht="12" customHeight="1">
      <c r="A2" s="112" t="s">
        <v>1</v>
      </c>
      <c r="B2" s="113" t="s">
        <v>2</v>
      </c>
      <c r="C2" s="113" t="s">
        <v>3</v>
      </c>
      <c r="D2" s="113" t="s">
        <v>4</v>
      </c>
      <c r="E2" s="112" t="s">
        <v>5</v>
      </c>
      <c r="F2" s="107" t="s">
        <v>6</v>
      </c>
      <c r="G2" s="109" t="s">
        <v>7</v>
      </c>
      <c r="H2" s="110"/>
      <c r="I2" s="110"/>
      <c r="J2" s="110"/>
      <c r="K2" s="111"/>
      <c r="L2" s="106" t="s">
        <v>8</v>
      </c>
      <c r="M2" s="106"/>
      <c r="N2" s="106" t="s">
        <v>9</v>
      </c>
      <c r="O2" s="106"/>
      <c r="P2" s="106"/>
      <c r="Q2" s="120" t="s">
        <v>136</v>
      </c>
      <c r="R2" s="120"/>
    </row>
    <row r="3" spans="1:18" s="4" customFormat="1" ht="12">
      <c r="A3" s="112"/>
      <c r="B3" s="114"/>
      <c r="C3" s="114"/>
      <c r="D3" s="114"/>
      <c r="E3" s="112"/>
      <c r="F3" s="108"/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6" t="s">
        <v>17</v>
      </c>
      <c r="O3" s="6" t="s">
        <v>18</v>
      </c>
      <c r="P3" s="7" t="s">
        <v>19</v>
      </c>
      <c r="Q3" s="121" t="s">
        <v>137</v>
      </c>
      <c r="R3" s="121" t="s">
        <v>139</v>
      </c>
    </row>
    <row r="4" spans="1:18" s="4" customFormat="1" ht="12">
      <c r="A4" s="8" t="s">
        <v>20</v>
      </c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s="15" customFormat="1" ht="12">
      <c r="A5" s="10">
        <v>1</v>
      </c>
      <c r="B5" s="10">
        <v>20070027</v>
      </c>
      <c r="C5" s="10" t="s">
        <v>21</v>
      </c>
      <c r="D5" s="10" t="s">
        <v>22</v>
      </c>
      <c r="E5" s="11" t="s">
        <v>23</v>
      </c>
      <c r="F5" s="11" t="s">
        <v>24</v>
      </c>
      <c r="G5" s="13"/>
      <c r="H5" s="13"/>
      <c r="I5" s="13"/>
      <c r="J5" s="13"/>
      <c r="K5" s="13">
        <v>1</v>
      </c>
      <c r="L5" s="13">
        <v>2010</v>
      </c>
      <c r="M5" s="14">
        <v>1</v>
      </c>
      <c r="N5" s="13"/>
      <c r="O5" s="14">
        <v>1</v>
      </c>
      <c r="P5" s="14"/>
      <c r="Q5" s="122">
        <f>O12/G13</f>
        <v>1</v>
      </c>
      <c r="R5" s="122">
        <f>(K12+J12)/G13</f>
        <v>0.2857142857142857</v>
      </c>
    </row>
    <row r="6" spans="1:18" s="15" customFormat="1" ht="12">
      <c r="A6" s="10">
        <v>2</v>
      </c>
      <c r="B6" s="10">
        <v>20100033</v>
      </c>
      <c r="C6" s="16" t="s">
        <v>25</v>
      </c>
      <c r="D6" s="17" t="s">
        <v>26</v>
      </c>
      <c r="E6" s="18" t="s">
        <v>27</v>
      </c>
      <c r="F6" s="19" t="s">
        <v>28</v>
      </c>
      <c r="G6" s="20"/>
      <c r="H6" s="20">
        <v>1</v>
      </c>
      <c r="I6" s="20"/>
      <c r="J6" s="20"/>
      <c r="K6" s="20"/>
      <c r="L6" s="21">
        <v>2023</v>
      </c>
      <c r="M6" s="22">
        <v>1</v>
      </c>
      <c r="N6" s="21"/>
      <c r="O6" s="22">
        <v>1</v>
      </c>
      <c r="P6" s="22"/>
      <c r="Q6" s="123"/>
      <c r="R6" s="123"/>
    </row>
    <row r="7" spans="1:18" s="15" customFormat="1" ht="12">
      <c r="A7" s="10">
        <v>3</v>
      </c>
      <c r="B7" s="23">
        <v>20180012</v>
      </c>
      <c r="C7" s="16" t="s">
        <v>29</v>
      </c>
      <c r="D7" s="16" t="s">
        <v>30</v>
      </c>
      <c r="E7" s="18" t="s">
        <v>31</v>
      </c>
      <c r="F7" s="24" t="s">
        <v>32</v>
      </c>
      <c r="G7" s="25"/>
      <c r="H7" s="25"/>
      <c r="I7" s="25">
        <v>1</v>
      </c>
      <c r="J7" s="25"/>
      <c r="K7" s="25"/>
      <c r="L7" s="25">
        <v>2017</v>
      </c>
      <c r="M7" s="25">
        <v>1</v>
      </c>
      <c r="N7" s="25"/>
      <c r="O7" s="25">
        <v>1</v>
      </c>
      <c r="P7" s="25"/>
      <c r="Q7" s="123"/>
      <c r="R7" s="123"/>
    </row>
    <row r="8" spans="1:18" s="15" customFormat="1" ht="12">
      <c r="A8" s="10">
        <v>4</v>
      </c>
      <c r="B8" s="26">
        <v>20240020</v>
      </c>
      <c r="C8" s="26" t="s">
        <v>33</v>
      </c>
      <c r="D8" s="26" t="s">
        <v>34</v>
      </c>
      <c r="E8" s="27" t="s">
        <v>35</v>
      </c>
      <c r="F8" s="29" t="s">
        <v>36</v>
      </c>
      <c r="G8" s="30"/>
      <c r="H8" s="30"/>
      <c r="I8" s="30"/>
      <c r="J8" s="30"/>
      <c r="K8" s="30">
        <v>1</v>
      </c>
      <c r="L8" s="30">
        <v>2010</v>
      </c>
      <c r="M8" s="31">
        <v>1</v>
      </c>
      <c r="N8" s="30"/>
      <c r="O8" s="31">
        <v>1</v>
      </c>
      <c r="P8" s="31"/>
      <c r="Q8" s="123"/>
      <c r="R8" s="123"/>
    </row>
    <row r="9" spans="1:18" s="15" customFormat="1" ht="12">
      <c r="A9" s="10">
        <v>5</v>
      </c>
      <c r="B9" s="32">
        <v>20230021</v>
      </c>
      <c r="C9" s="32" t="s">
        <v>37</v>
      </c>
      <c r="D9" s="32" t="s">
        <v>38</v>
      </c>
      <c r="E9" s="33" t="s">
        <v>39</v>
      </c>
      <c r="F9" s="29" t="s">
        <v>40</v>
      </c>
      <c r="G9" s="30">
        <v>1</v>
      </c>
      <c r="H9" s="30"/>
      <c r="I9" s="30"/>
      <c r="J9" s="30"/>
      <c r="K9" s="30"/>
      <c r="L9" s="30"/>
      <c r="M9" s="31"/>
      <c r="N9" s="30"/>
      <c r="O9" s="31">
        <v>1</v>
      </c>
      <c r="P9" s="31"/>
      <c r="Q9" s="123"/>
      <c r="R9" s="123"/>
    </row>
    <row r="10" spans="1:18" s="15" customFormat="1" ht="12">
      <c r="A10" s="10">
        <v>6</v>
      </c>
      <c r="B10" s="32">
        <v>20180013</v>
      </c>
      <c r="C10" s="35" t="s">
        <v>42</v>
      </c>
      <c r="D10" s="35" t="s">
        <v>43</v>
      </c>
      <c r="E10" s="34" t="s">
        <v>44</v>
      </c>
      <c r="F10" s="36" t="s">
        <v>45</v>
      </c>
      <c r="G10" s="30">
        <v>1</v>
      </c>
      <c r="H10" s="30"/>
      <c r="I10" s="30"/>
      <c r="J10" s="30"/>
      <c r="K10" s="30"/>
      <c r="L10" s="30"/>
      <c r="M10" s="31"/>
      <c r="N10" s="30"/>
      <c r="O10" s="31">
        <v>1</v>
      </c>
      <c r="P10" s="31"/>
      <c r="Q10" s="123"/>
      <c r="R10" s="123"/>
    </row>
    <row r="11" spans="1:18" s="15" customFormat="1" ht="12">
      <c r="A11" s="10">
        <v>7</v>
      </c>
      <c r="B11" s="37">
        <v>20160017</v>
      </c>
      <c r="C11" s="37" t="s">
        <v>46</v>
      </c>
      <c r="D11" s="37" t="s">
        <v>41</v>
      </c>
      <c r="E11" s="38" t="s">
        <v>47</v>
      </c>
      <c r="F11" s="36" t="s">
        <v>48</v>
      </c>
      <c r="G11" s="30"/>
      <c r="H11" s="30"/>
      <c r="I11" s="30">
        <v>1</v>
      </c>
      <c r="J11" s="30"/>
      <c r="K11" s="30"/>
      <c r="L11" s="30"/>
      <c r="M11" s="31"/>
      <c r="N11" s="30"/>
      <c r="O11" s="31">
        <v>1</v>
      </c>
      <c r="P11" s="31"/>
      <c r="Q11" s="123"/>
      <c r="R11" s="123"/>
    </row>
    <row r="12" spans="1:18" s="4" customFormat="1" ht="12">
      <c r="A12" s="39"/>
      <c r="B12" s="40"/>
      <c r="C12" s="40"/>
      <c r="D12" s="40"/>
      <c r="E12" s="41" t="s">
        <v>49</v>
      </c>
      <c r="F12" s="44"/>
      <c r="G12" s="45">
        <f>SUM(G5:G11)</f>
        <v>2</v>
      </c>
      <c r="H12" s="45">
        <f>SUM(H5:H11)</f>
        <v>1</v>
      </c>
      <c r="I12" s="45">
        <f>SUM(I5:I11)</f>
        <v>2</v>
      </c>
      <c r="J12" s="45">
        <f>SUM(J5:J11)</f>
        <v>0</v>
      </c>
      <c r="K12" s="45">
        <f>SUM(K5:K11)</f>
        <v>2</v>
      </c>
      <c r="L12" s="46"/>
      <c r="M12" s="47">
        <f>SUM(M5:M11)</f>
        <v>4</v>
      </c>
      <c r="N12" s="42">
        <f>SUM(N5:N11)</f>
        <v>0</v>
      </c>
      <c r="O12" s="42">
        <f>SUM(O5:O11)</f>
        <v>7</v>
      </c>
      <c r="P12" s="48">
        <f>SUM(P5:P11)</f>
        <v>0</v>
      </c>
      <c r="Q12" s="124"/>
      <c r="R12" s="124"/>
    </row>
    <row r="13" spans="1:18" s="4" customFormat="1" ht="24">
      <c r="A13" s="116"/>
      <c r="B13" s="117"/>
      <c r="C13" s="117"/>
      <c r="D13" s="117"/>
      <c r="E13" s="118"/>
      <c r="F13" s="119"/>
      <c r="G13" s="125">
        <f>SUM(G12:K12)</f>
        <v>7</v>
      </c>
      <c r="H13" s="126"/>
      <c r="I13" s="126"/>
      <c r="J13" s="126"/>
      <c r="K13" s="127"/>
      <c r="L13" s="128"/>
      <c r="M13" s="129"/>
      <c r="N13" s="130">
        <f>SUM(N12:O12)</f>
        <v>7</v>
      </c>
      <c r="O13" s="131"/>
      <c r="P13" s="132"/>
      <c r="Q13" s="133" t="str">
        <f>IF(Q5=100%,"Memenuhi","Tidak Memenuhi")</f>
        <v>Memenuhi</v>
      </c>
      <c r="R13" s="134" t="str">
        <f>IF(R5&gt;=40%,"Memenuhi","Tidak Memenuhi")</f>
        <v>Tidak Memenuhi</v>
      </c>
    </row>
    <row r="14" spans="1:18" s="4" customFormat="1" ht="12">
      <c r="A14" s="116"/>
      <c r="B14" s="117"/>
      <c r="C14" s="117"/>
      <c r="D14" s="117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s="4" customFormat="1" ht="12" customHeight="1">
      <c r="A15" s="112" t="s">
        <v>1</v>
      </c>
      <c r="B15" s="113" t="s">
        <v>2</v>
      </c>
      <c r="C15" s="113" t="s">
        <v>3</v>
      </c>
      <c r="D15" s="113" t="s">
        <v>4</v>
      </c>
      <c r="E15" s="112" t="s">
        <v>5</v>
      </c>
      <c r="F15" s="107" t="s">
        <v>6</v>
      </c>
      <c r="G15" s="109" t="s">
        <v>7</v>
      </c>
      <c r="H15" s="110"/>
      <c r="I15" s="110"/>
      <c r="J15" s="110"/>
      <c r="K15" s="111"/>
      <c r="L15" s="106" t="s">
        <v>8</v>
      </c>
      <c r="M15" s="106"/>
      <c r="N15" s="106" t="s">
        <v>9</v>
      </c>
      <c r="O15" s="106"/>
      <c r="P15" s="106"/>
      <c r="Q15" s="120" t="s">
        <v>136</v>
      </c>
      <c r="R15" s="120"/>
    </row>
    <row r="16" spans="1:18" s="4" customFormat="1" ht="12">
      <c r="A16" s="112"/>
      <c r="B16" s="114"/>
      <c r="C16" s="114"/>
      <c r="D16" s="114"/>
      <c r="E16" s="112"/>
      <c r="F16" s="108"/>
      <c r="G16" s="5" t="s">
        <v>10</v>
      </c>
      <c r="H16" s="5" t="s">
        <v>11</v>
      </c>
      <c r="I16" s="5" t="s">
        <v>12</v>
      </c>
      <c r="J16" s="5" t="s">
        <v>13</v>
      </c>
      <c r="K16" s="5" t="s">
        <v>14</v>
      </c>
      <c r="L16" s="5" t="s">
        <v>15</v>
      </c>
      <c r="M16" s="5" t="s">
        <v>16</v>
      </c>
      <c r="N16" s="6" t="s">
        <v>17</v>
      </c>
      <c r="O16" s="6" t="s">
        <v>18</v>
      </c>
      <c r="P16" s="7" t="s">
        <v>19</v>
      </c>
      <c r="Q16" s="121" t="s">
        <v>137</v>
      </c>
      <c r="R16" s="121" t="s">
        <v>138</v>
      </c>
    </row>
    <row r="17" spans="1:19" s="4" customFormat="1" ht="12">
      <c r="A17" s="49" t="s">
        <v>50</v>
      </c>
      <c r="B17" s="49"/>
      <c r="C17" s="49"/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8" spans="1:19" s="15" customFormat="1" ht="12">
      <c r="A18" s="10">
        <v>8</v>
      </c>
      <c r="B18" s="10">
        <v>20070067</v>
      </c>
      <c r="C18" s="10" t="s">
        <v>51</v>
      </c>
      <c r="D18" s="10" t="s">
        <v>52</v>
      </c>
      <c r="E18" s="51" t="s">
        <v>53</v>
      </c>
      <c r="F18" s="52" t="s">
        <v>54</v>
      </c>
      <c r="G18" s="54"/>
      <c r="H18" s="54"/>
      <c r="I18" s="54">
        <v>1</v>
      </c>
      <c r="J18" s="54"/>
      <c r="K18" s="54"/>
      <c r="L18" s="54">
        <v>2013</v>
      </c>
      <c r="M18" s="54">
        <v>1</v>
      </c>
      <c r="N18" s="54">
        <v>1</v>
      </c>
      <c r="O18" s="54"/>
      <c r="P18" s="138"/>
      <c r="Q18" s="143">
        <f>O31/G32</f>
        <v>7.6923076923076927E-2</v>
      </c>
      <c r="R18" s="143">
        <f>(SUM(I31:K31))/G32</f>
        <v>0.30769230769230771</v>
      </c>
    </row>
    <row r="19" spans="1:19" s="15" customFormat="1" ht="12">
      <c r="A19" s="10">
        <v>9</v>
      </c>
      <c r="B19" s="10">
        <v>20070072</v>
      </c>
      <c r="C19" s="10" t="s">
        <v>55</v>
      </c>
      <c r="D19" s="10" t="s">
        <v>56</v>
      </c>
      <c r="E19" s="11" t="s">
        <v>57</v>
      </c>
      <c r="F19" s="55" t="s">
        <v>58</v>
      </c>
      <c r="G19" s="30"/>
      <c r="H19" s="30"/>
      <c r="I19" s="30"/>
      <c r="J19" s="30"/>
      <c r="K19" s="30">
        <v>1</v>
      </c>
      <c r="L19" s="30">
        <v>2012</v>
      </c>
      <c r="M19" s="31">
        <v>1</v>
      </c>
      <c r="N19" s="30"/>
      <c r="O19" s="31">
        <v>1</v>
      </c>
      <c r="P19" s="30"/>
      <c r="Q19" s="143"/>
      <c r="R19" s="143"/>
    </row>
    <row r="20" spans="1:19" s="15" customFormat="1" ht="12">
      <c r="A20" s="10">
        <v>10</v>
      </c>
      <c r="B20" s="10">
        <v>20100023</v>
      </c>
      <c r="C20" s="56" t="s">
        <v>59</v>
      </c>
      <c r="D20" s="10" t="s">
        <v>60</v>
      </c>
      <c r="E20" s="18" t="s">
        <v>61</v>
      </c>
      <c r="F20" s="57" t="s">
        <v>62</v>
      </c>
      <c r="G20" s="58"/>
      <c r="H20" s="58"/>
      <c r="I20" s="58">
        <v>1</v>
      </c>
      <c r="J20" s="58"/>
      <c r="K20" s="58"/>
      <c r="L20" s="58">
        <v>2013</v>
      </c>
      <c r="M20" s="59">
        <v>1</v>
      </c>
      <c r="N20" s="58">
        <v>1</v>
      </c>
      <c r="O20" s="59"/>
      <c r="P20" s="58"/>
      <c r="Q20" s="143"/>
      <c r="R20" s="143"/>
    </row>
    <row r="21" spans="1:19" s="15" customFormat="1" ht="12">
      <c r="A21" s="10">
        <v>11</v>
      </c>
      <c r="B21" s="23">
        <v>20140009</v>
      </c>
      <c r="C21" s="16" t="s">
        <v>63</v>
      </c>
      <c r="D21" s="16" t="s">
        <v>64</v>
      </c>
      <c r="E21" s="18" t="s">
        <v>65</v>
      </c>
      <c r="F21" s="24" t="s">
        <v>66</v>
      </c>
      <c r="G21" s="25"/>
      <c r="H21" s="25">
        <v>1</v>
      </c>
      <c r="I21" s="25"/>
      <c r="J21" s="25"/>
      <c r="K21" s="25"/>
      <c r="L21" s="25">
        <v>2021</v>
      </c>
      <c r="M21" s="25">
        <v>1</v>
      </c>
      <c r="N21" s="25">
        <v>1</v>
      </c>
      <c r="O21" s="25"/>
      <c r="P21" s="139">
        <v>1</v>
      </c>
      <c r="Q21" s="143"/>
      <c r="R21" s="143"/>
    </row>
    <row r="22" spans="1:19" s="15" customFormat="1" ht="12">
      <c r="A22" s="10">
        <v>12</v>
      </c>
      <c r="B22" s="23">
        <v>20160015</v>
      </c>
      <c r="C22" s="16" t="s">
        <v>67</v>
      </c>
      <c r="D22" s="16" t="s">
        <v>68</v>
      </c>
      <c r="E22" s="18" t="s">
        <v>69</v>
      </c>
      <c r="F22" s="24" t="s">
        <v>70</v>
      </c>
      <c r="G22" s="25"/>
      <c r="H22" s="25"/>
      <c r="I22" s="25">
        <v>1</v>
      </c>
      <c r="J22" s="25"/>
      <c r="K22" s="25"/>
      <c r="L22" s="25">
        <v>2023</v>
      </c>
      <c r="M22" s="25">
        <v>1</v>
      </c>
      <c r="N22" s="25">
        <v>1</v>
      </c>
      <c r="O22" s="25"/>
      <c r="P22" s="139">
        <v>1</v>
      </c>
      <c r="Q22" s="143"/>
      <c r="R22" s="143"/>
    </row>
    <row r="23" spans="1:19" s="15" customFormat="1" ht="12">
      <c r="A23" s="10">
        <v>13</v>
      </c>
      <c r="B23" s="60">
        <v>20190004</v>
      </c>
      <c r="C23" s="61" t="s">
        <v>71</v>
      </c>
      <c r="D23" s="61" t="s">
        <v>72</v>
      </c>
      <c r="E23" s="62" t="s">
        <v>73</v>
      </c>
      <c r="F23" s="24" t="s">
        <v>74</v>
      </c>
      <c r="G23" s="25"/>
      <c r="H23" s="25">
        <v>1</v>
      </c>
      <c r="I23" s="25"/>
      <c r="J23" s="25"/>
      <c r="K23" s="25"/>
      <c r="L23" s="25"/>
      <c r="M23" s="25"/>
      <c r="N23" s="25">
        <v>1</v>
      </c>
      <c r="O23" s="25"/>
      <c r="P23" s="139"/>
      <c r="Q23" s="143"/>
      <c r="R23" s="143"/>
    </row>
    <row r="24" spans="1:19" s="15" customFormat="1" ht="12">
      <c r="A24" s="10">
        <v>14</v>
      </c>
      <c r="B24" s="60">
        <v>20190013</v>
      </c>
      <c r="C24" s="61" t="s">
        <v>75</v>
      </c>
      <c r="D24" s="61" t="s">
        <v>76</v>
      </c>
      <c r="E24" s="62" t="s">
        <v>77</v>
      </c>
      <c r="F24" s="24" t="s">
        <v>78</v>
      </c>
      <c r="G24" s="25"/>
      <c r="H24" s="25">
        <v>1</v>
      </c>
      <c r="I24" s="25"/>
      <c r="J24" s="25"/>
      <c r="K24" s="25"/>
      <c r="L24" s="25"/>
      <c r="M24" s="25"/>
      <c r="N24" s="25">
        <v>1</v>
      </c>
      <c r="O24" s="25"/>
      <c r="P24" s="139"/>
      <c r="Q24" s="143"/>
      <c r="R24" s="143"/>
    </row>
    <row r="25" spans="1:19" s="15" customFormat="1" ht="12">
      <c r="A25" s="10">
        <v>15</v>
      </c>
      <c r="B25" s="63">
        <v>20200006</v>
      </c>
      <c r="C25" s="64" t="s">
        <v>79</v>
      </c>
      <c r="D25" s="64" t="s">
        <v>80</v>
      </c>
      <c r="E25" s="65" t="s">
        <v>81</v>
      </c>
      <c r="F25" s="29" t="s">
        <v>82</v>
      </c>
      <c r="G25" s="66"/>
      <c r="H25" s="25">
        <v>1</v>
      </c>
      <c r="I25" s="25"/>
      <c r="J25" s="25"/>
      <c r="K25" s="25"/>
      <c r="L25" s="25"/>
      <c r="M25" s="25"/>
      <c r="N25" s="25">
        <v>1</v>
      </c>
      <c r="O25" s="25"/>
      <c r="P25" s="139">
        <v>1</v>
      </c>
      <c r="Q25" s="143"/>
      <c r="R25" s="143"/>
    </row>
    <row r="26" spans="1:19" s="15" customFormat="1" ht="12">
      <c r="A26" s="10">
        <v>16</v>
      </c>
      <c r="B26" s="23">
        <v>20220005</v>
      </c>
      <c r="C26" s="16" t="s">
        <v>83</v>
      </c>
      <c r="D26" s="16" t="s">
        <v>84</v>
      </c>
      <c r="E26" s="18" t="s">
        <v>85</v>
      </c>
      <c r="F26" s="29" t="s">
        <v>86</v>
      </c>
      <c r="G26" s="25">
        <v>1</v>
      </c>
      <c r="H26" s="66"/>
      <c r="I26" s="66"/>
      <c r="J26" s="66"/>
      <c r="K26" s="66"/>
      <c r="L26" s="67"/>
      <c r="M26" s="66"/>
      <c r="N26" s="66">
        <v>1</v>
      </c>
      <c r="O26" s="66"/>
      <c r="P26" s="140"/>
      <c r="Q26" s="143"/>
      <c r="R26" s="143"/>
    </row>
    <row r="27" spans="1:19" s="15" customFormat="1" ht="12">
      <c r="A27" s="10">
        <v>17</v>
      </c>
      <c r="B27" s="28">
        <v>20230011</v>
      </c>
      <c r="C27" s="68" t="s">
        <v>87</v>
      </c>
      <c r="D27" s="16" t="s">
        <v>88</v>
      </c>
      <c r="E27" s="69" t="s">
        <v>89</v>
      </c>
      <c r="F27" s="29" t="s">
        <v>90</v>
      </c>
      <c r="G27" s="25">
        <v>1</v>
      </c>
      <c r="H27" s="71"/>
      <c r="I27" s="71"/>
      <c r="J27" s="71"/>
      <c r="K27" s="71"/>
      <c r="L27" s="67"/>
      <c r="M27" s="66"/>
      <c r="N27" s="66">
        <v>1</v>
      </c>
      <c r="O27" s="66"/>
      <c r="P27" s="140"/>
      <c r="Q27" s="143"/>
      <c r="R27" s="143"/>
    </row>
    <row r="28" spans="1:19" s="15" customFormat="1" ht="12">
      <c r="A28" s="10">
        <v>18</v>
      </c>
      <c r="B28" s="70">
        <v>20230016</v>
      </c>
      <c r="C28" s="68">
        <v>708029602</v>
      </c>
      <c r="D28" s="16" t="s">
        <v>91</v>
      </c>
      <c r="E28" s="69" t="s">
        <v>92</v>
      </c>
      <c r="F28" s="29" t="s">
        <v>93</v>
      </c>
      <c r="G28" s="25">
        <v>1</v>
      </c>
      <c r="H28" s="71"/>
      <c r="I28" s="71"/>
      <c r="J28" s="71"/>
      <c r="K28" s="71"/>
      <c r="L28" s="67"/>
      <c r="M28" s="66"/>
      <c r="N28" s="66">
        <v>1</v>
      </c>
      <c r="O28" s="66"/>
      <c r="P28" s="140"/>
      <c r="Q28" s="143"/>
      <c r="R28" s="143"/>
    </row>
    <row r="29" spans="1:19" s="15" customFormat="1" ht="12" customHeight="1">
      <c r="A29" s="10">
        <v>19</v>
      </c>
      <c r="B29" s="37">
        <v>20130002</v>
      </c>
      <c r="C29" s="37" t="s">
        <v>94</v>
      </c>
      <c r="D29" s="37" t="s">
        <v>41</v>
      </c>
      <c r="E29" s="72" t="s">
        <v>95</v>
      </c>
      <c r="F29" s="73" t="s">
        <v>96</v>
      </c>
      <c r="G29" s="74"/>
      <c r="H29" s="75">
        <v>1</v>
      </c>
      <c r="I29" s="75"/>
      <c r="J29" s="75"/>
      <c r="K29" s="75"/>
      <c r="L29" s="76"/>
      <c r="M29" s="77"/>
      <c r="N29" s="77">
        <v>1</v>
      </c>
      <c r="O29" s="77"/>
      <c r="P29" s="141"/>
      <c r="Q29" s="143"/>
      <c r="R29" s="143"/>
    </row>
    <row r="30" spans="1:19" s="15" customFormat="1" ht="12">
      <c r="A30" s="10">
        <v>20</v>
      </c>
      <c r="B30" s="37">
        <v>20070071</v>
      </c>
      <c r="C30" s="78" t="s">
        <v>97</v>
      </c>
      <c r="D30" s="78" t="s">
        <v>41</v>
      </c>
      <c r="E30" s="72" t="s">
        <v>98</v>
      </c>
      <c r="F30" s="79" t="s">
        <v>99</v>
      </c>
      <c r="G30" s="80">
        <v>1</v>
      </c>
      <c r="H30" s="81"/>
      <c r="I30" s="81"/>
      <c r="J30" s="81"/>
      <c r="K30" s="81"/>
      <c r="L30" s="82"/>
      <c r="M30" s="83"/>
      <c r="N30" s="83">
        <v>1</v>
      </c>
      <c r="O30" s="83"/>
      <c r="P30" s="142"/>
      <c r="Q30" s="143"/>
      <c r="R30" s="143"/>
    </row>
    <row r="31" spans="1:19" s="4" customFormat="1" ht="12">
      <c r="A31" s="39"/>
      <c r="B31" s="40"/>
      <c r="C31" s="40"/>
      <c r="D31" s="40"/>
      <c r="E31" s="41" t="s">
        <v>49</v>
      </c>
      <c r="F31" s="44"/>
      <c r="G31" s="45">
        <f>SUM(G18:G30)</f>
        <v>4</v>
      </c>
      <c r="H31" s="45">
        <f>SUM(H18:H30)</f>
        <v>5</v>
      </c>
      <c r="I31" s="45">
        <f>SUM(I18:I30)</f>
        <v>3</v>
      </c>
      <c r="J31" s="45">
        <f>SUM(J18:J30)</f>
        <v>0</v>
      </c>
      <c r="K31" s="45">
        <f>SUM(K18:K30)</f>
        <v>1</v>
      </c>
      <c r="L31" s="43"/>
      <c r="M31" s="47">
        <f>SUM(M18:M30)</f>
        <v>5</v>
      </c>
      <c r="N31" s="42">
        <f>SUM(N18:N30)</f>
        <v>12</v>
      </c>
      <c r="O31" s="42">
        <f>SUM(O18:O30)</f>
        <v>1</v>
      </c>
      <c r="P31" s="84">
        <f>SUM(P18:P30)</f>
        <v>3</v>
      </c>
      <c r="Q31" s="143"/>
      <c r="R31" s="143"/>
    </row>
    <row r="32" spans="1:19" s="4" customFormat="1" ht="24">
      <c r="A32" s="116"/>
      <c r="B32" s="117"/>
      <c r="C32" s="117"/>
      <c r="D32" s="117"/>
      <c r="E32" s="118"/>
      <c r="F32" s="119"/>
      <c r="G32" s="135">
        <f>SUM(G31:K31)</f>
        <v>13</v>
      </c>
      <c r="H32" s="136"/>
      <c r="I32" s="136"/>
      <c r="J32" s="136"/>
      <c r="K32" s="137"/>
      <c r="L32" s="128"/>
      <c r="M32" s="129"/>
      <c r="N32" s="130">
        <f>SUM(N31:O31)</f>
        <v>13</v>
      </c>
      <c r="O32" s="131"/>
      <c r="P32" s="132"/>
      <c r="Q32" s="134" t="str">
        <f>IF(O31&gt;=1,"Memenuhi","Tidak Memenuhi")</f>
        <v>Memenuhi</v>
      </c>
      <c r="R32" s="134" t="str">
        <f>IF(R18&gt;=40%,"Memenuhi","Tidak Memenuhi")</f>
        <v>Tidak Memenuhi</v>
      </c>
      <c r="S32" s="115"/>
    </row>
    <row r="33" spans="1:19" s="4" customFormat="1" ht="12">
      <c r="A33" s="116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</row>
    <row r="34" spans="1:19" s="4" customFormat="1" ht="12" customHeight="1">
      <c r="A34" s="112" t="s">
        <v>1</v>
      </c>
      <c r="B34" s="113" t="s">
        <v>2</v>
      </c>
      <c r="C34" s="113" t="s">
        <v>3</v>
      </c>
      <c r="D34" s="113" t="s">
        <v>4</v>
      </c>
      <c r="E34" s="112" t="s">
        <v>5</v>
      </c>
      <c r="F34" s="107" t="s">
        <v>6</v>
      </c>
      <c r="G34" s="109" t="s">
        <v>7</v>
      </c>
      <c r="H34" s="110"/>
      <c r="I34" s="110"/>
      <c r="J34" s="110"/>
      <c r="K34" s="111"/>
      <c r="L34" s="106" t="s">
        <v>8</v>
      </c>
      <c r="M34" s="106"/>
      <c r="N34" s="106" t="s">
        <v>9</v>
      </c>
      <c r="O34" s="106"/>
      <c r="P34" s="106"/>
      <c r="Q34" s="120" t="s">
        <v>136</v>
      </c>
      <c r="R34" s="120"/>
    </row>
    <row r="35" spans="1:19" s="4" customFormat="1" ht="12">
      <c r="A35" s="112"/>
      <c r="B35" s="114"/>
      <c r="C35" s="114"/>
      <c r="D35" s="114"/>
      <c r="E35" s="112"/>
      <c r="F35" s="108"/>
      <c r="G35" s="5" t="s">
        <v>10</v>
      </c>
      <c r="H35" s="5" t="s">
        <v>11</v>
      </c>
      <c r="I35" s="5" t="s">
        <v>12</v>
      </c>
      <c r="J35" s="5" t="s">
        <v>13</v>
      </c>
      <c r="K35" s="5" t="s">
        <v>14</v>
      </c>
      <c r="L35" s="5" t="s">
        <v>15</v>
      </c>
      <c r="M35" s="5" t="s">
        <v>16</v>
      </c>
      <c r="N35" s="6" t="s">
        <v>17</v>
      </c>
      <c r="O35" s="6" t="s">
        <v>18</v>
      </c>
      <c r="P35" s="7" t="s">
        <v>19</v>
      </c>
      <c r="Q35" s="121" t="s">
        <v>137</v>
      </c>
      <c r="R35" s="121" t="s">
        <v>138</v>
      </c>
    </row>
    <row r="36" spans="1:19" s="4" customFormat="1" ht="12">
      <c r="A36" s="49" t="s">
        <v>100</v>
      </c>
      <c r="B36" s="49"/>
      <c r="C36" s="49"/>
      <c r="D36" s="49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</row>
    <row r="37" spans="1:19" s="15" customFormat="1" ht="12">
      <c r="A37" s="10">
        <v>21</v>
      </c>
      <c r="B37" s="10">
        <v>20070029</v>
      </c>
      <c r="C37" s="10" t="s">
        <v>101</v>
      </c>
      <c r="D37" s="10" t="s">
        <v>102</v>
      </c>
      <c r="E37" s="11" t="s">
        <v>103</v>
      </c>
      <c r="F37" s="55" t="s">
        <v>104</v>
      </c>
      <c r="G37" s="13"/>
      <c r="H37" s="13"/>
      <c r="I37" s="13">
        <v>1</v>
      </c>
      <c r="J37" s="13"/>
      <c r="K37" s="13"/>
      <c r="L37" s="13">
        <v>2011</v>
      </c>
      <c r="M37" s="14">
        <v>1</v>
      </c>
      <c r="N37" s="13">
        <v>1</v>
      </c>
      <c r="O37" s="14"/>
      <c r="P37" s="14">
        <v>1</v>
      </c>
      <c r="Q37" s="122">
        <f>O46/G47</f>
        <v>0.22222222222222221</v>
      </c>
      <c r="R37" s="122">
        <f>(SUM(I46:K46))/G47</f>
        <v>0.44444444444444442</v>
      </c>
    </row>
    <row r="38" spans="1:19" s="15" customFormat="1" ht="12">
      <c r="A38" s="10">
        <v>22</v>
      </c>
      <c r="B38" s="10">
        <v>20080021</v>
      </c>
      <c r="C38" s="10" t="s">
        <v>105</v>
      </c>
      <c r="D38" s="10" t="s">
        <v>106</v>
      </c>
      <c r="E38" s="11" t="s">
        <v>107</v>
      </c>
      <c r="F38" s="53" t="s">
        <v>108</v>
      </c>
      <c r="G38" s="85"/>
      <c r="H38" s="85"/>
      <c r="I38" s="85">
        <v>1</v>
      </c>
      <c r="J38" s="85"/>
      <c r="K38" s="85"/>
      <c r="L38" s="85">
        <v>2013</v>
      </c>
      <c r="M38" s="85">
        <v>1</v>
      </c>
      <c r="N38" s="85"/>
      <c r="O38" s="85">
        <v>1</v>
      </c>
      <c r="P38" s="85"/>
      <c r="Q38" s="123"/>
      <c r="R38" s="123"/>
    </row>
    <row r="39" spans="1:19" s="15" customFormat="1" ht="12">
      <c r="A39" s="10">
        <v>23</v>
      </c>
      <c r="B39" s="10">
        <v>20090018</v>
      </c>
      <c r="C39" s="10" t="s">
        <v>109</v>
      </c>
      <c r="D39" s="10" t="s">
        <v>110</v>
      </c>
      <c r="E39" s="18" t="s">
        <v>111</v>
      </c>
      <c r="F39" s="12" t="s">
        <v>112</v>
      </c>
      <c r="G39" s="10"/>
      <c r="H39" s="10"/>
      <c r="I39" s="10">
        <v>1</v>
      </c>
      <c r="J39" s="10"/>
      <c r="K39" s="10"/>
      <c r="L39" s="10">
        <v>2015</v>
      </c>
      <c r="M39" s="10">
        <v>1</v>
      </c>
      <c r="N39" s="10">
        <v>1</v>
      </c>
      <c r="O39" s="10"/>
      <c r="P39" s="10">
        <v>1</v>
      </c>
      <c r="Q39" s="123"/>
      <c r="R39" s="123"/>
    </row>
    <row r="40" spans="1:19" s="15" customFormat="1" ht="12">
      <c r="A40" s="10">
        <v>24</v>
      </c>
      <c r="B40" s="60">
        <v>20190012</v>
      </c>
      <c r="C40" s="61" t="s">
        <v>113</v>
      </c>
      <c r="D40" s="61" t="s">
        <v>114</v>
      </c>
      <c r="E40" s="62" t="s">
        <v>115</v>
      </c>
      <c r="F40" s="12" t="s">
        <v>116</v>
      </c>
      <c r="G40" s="10"/>
      <c r="H40" s="10">
        <v>1</v>
      </c>
      <c r="I40" s="10"/>
      <c r="J40" s="10"/>
      <c r="K40" s="10"/>
      <c r="L40" s="10">
        <v>2024</v>
      </c>
      <c r="M40" s="10">
        <v>1</v>
      </c>
      <c r="N40" s="10">
        <v>1</v>
      </c>
      <c r="O40" s="10"/>
      <c r="P40" s="10"/>
      <c r="Q40" s="123"/>
      <c r="R40" s="123"/>
    </row>
    <row r="41" spans="1:19" s="15" customFormat="1" ht="12">
      <c r="A41" s="10">
        <v>25</v>
      </c>
      <c r="B41" s="86">
        <v>20230002</v>
      </c>
      <c r="C41" s="16" t="s">
        <v>117</v>
      </c>
      <c r="D41" s="16" t="s">
        <v>118</v>
      </c>
      <c r="E41" s="87" t="s">
        <v>119</v>
      </c>
      <c r="F41" s="29" t="s">
        <v>120</v>
      </c>
      <c r="G41" s="10">
        <v>1</v>
      </c>
      <c r="H41" s="88"/>
      <c r="I41" s="88"/>
      <c r="J41" s="88"/>
      <c r="K41" s="88"/>
      <c r="L41" s="89"/>
      <c r="M41" s="90"/>
      <c r="N41" s="90">
        <v>1</v>
      </c>
      <c r="O41" s="90"/>
      <c r="P41" s="88"/>
      <c r="Q41" s="123"/>
      <c r="R41" s="123"/>
    </row>
    <row r="42" spans="1:19" s="15" customFormat="1" ht="12">
      <c r="A42" s="10">
        <v>26</v>
      </c>
      <c r="B42" s="37">
        <v>20070034</v>
      </c>
      <c r="C42" s="37" t="s">
        <v>121</v>
      </c>
      <c r="D42" s="37" t="s">
        <v>122</v>
      </c>
      <c r="E42" s="91" t="s">
        <v>123</v>
      </c>
      <c r="F42" s="92" t="s">
        <v>124</v>
      </c>
      <c r="G42" s="37"/>
      <c r="H42" s="93">
        <v>1</v>
      </c>
      <c r="I42" s="93"/>
      <c r="J42" s="93"/>
      <c r="K42" s="93"/>
      <c r="L42" s="94">
        <v>2015</v>
      </c>
      <c r="M42" s="95">
        <v>1</v>
      </c>
      <c r="N42" s="95"/>
      <c r="O42" s="95">
        <v>1</v>
      </c>
      <c r="P42" s="93"/>
      <c r="Q42" s="123"/>
      <c r="R42" s="123"/>
    </row>
    <row r="43" spans="1:19" s="15" customFormat="1" ht="12">
      <c r="A43" s="10">
        <v>27</v>
      </c>
      <c r="B43" s="37">
        <v>20090017</v>
      </c>
      <c r="C43" s="37" t="s">
        <v>125</v>
      </c>
      <c r="D43" s="37" t="s">
        <v>41</v>
      </c>
      <c r="E43" s="72" t="s">
        <v>126</v>
      </c>
      <c r="F43" s="96" t="s">
        <v>127</v>
      </c>
      <c r="G43" s="37"/>
      <c r="H43" s="93"/>
      <c r="I43" s="93"/>
      <c r="J43" s="93">
        <v>1</v>
      </c>
      <c r="K43" s="93"/>
      <c r="L43" s="37">
        <v>2010</v>
      </c>
      <c r="M43" s="95">
        <v>1</v>
      </c>
      <c r="N43" s="95">
        <v>1</v>
      </c>
      <c r="O43" s="95"/>
      <c r="P43" s="93"/>
      <c r="Q43" s="123"/>
      <c r="R43" s="123"/>
    </row>
    <row r="44" spans="1:19" s="15" customFormat="1" ht="12">
      <c r="A44" s="10">
        <v>28</v>
      </c>
      <c r="B44" s="78">
        <v>20230020</v>
      </c>
      <c r="C44" s="97" t="s">
        <v>128</v>
      </c>
      <c r="D44" s="98" t="s">
        <v>129</v>
      </c>
      <c r="E44" s="99" t="s">
        <v>130</v>
      </c>
      <c r="F44" s="100" t="s">
        <v>131</v>
      </c>
      <c r="G44" s="37">
        <v>1</v>
      </c>
      <c r="H44" s="93"/>
      <c r="I44" s="93"/>
      <c r="J44" s="93"/>
      <c r="K44" s="93"/>
      <c r="L44" s="101"/>
      <c r="M44" s="95"/>
      <c r="N44" s="95">
        <v>1</v>
      </c>
      <c r="O44" s="95"/>
      <c r="P44" s="93"/>
      <c r="Q44" s="123"/>
      <c r="R44" s="123"/>
    </row>
    <row r="45" spans="1:19" s="15" customFormat="1" ht="12">
      <c r="A45" s="10">
        <v>29</v>
      </c>
      <c r="B45" s="102">
        <v>20150003</v>
      </c>
      <c r="C45" s="98" t="s">
        <v>132</v>
      </c>
      <c r="D45" s="98" t="s">
        <v>133</v>
      </c>
      <c r="E45" s="103" t="s">
        <v>134</v>
      </c>
      <c r="F45" s="96" t="s">
        <v>135</v>
      </c>
      <c r="G45" s="37"/>
      <c r="H45" s="37">
        <v>1</v>
      </c>
      <c r="I45" s="37"/>
      <c r="J45" s="37"/>
      <c r="K45" s="37"/>
      <c r="L45" s="37">
        <v>2021</v>
      </c>
      <c r="M45" s="37">
        <v>1</v>
      </c>
      <c r="N45" s="37">
        <v>1</v>
      </c>
      <c r="O45" s="37"/>
      <c r="P45" s="37"/>
      <c r="Q45" s="123"/>
      <c r="R45" s="123"/>
    </row>
    <row r="46" spans="1:19" s="4" customFormat="1" ht="12">
      <c r="A46" s="39"/>
      <c r="B46" s="40"/>
      <c r="C46" s="40"/>
      <c r="D46" s="40"/>
      <c r="E46" s="41" t="s">
        <v>49</v>
      </c>
      <c r="F46" s="44"/>
      <c r="G46" s="45">
        <f>SUM(G37:G45)</f>
        <v>2</v>
      </c>
      <c r="H46" s="45">
        <f t="shared" ref="H46:I46" si="0">SUM(H37:H45)</f>
        <v>3</v>
      </c>
      <c r="I46" s="45">
        <f t="shared" si="0"/>
        <v>3</v>
      </c>
      <c r="J46" s="45">
        <f>SUM(J37:J45)</f>
        <v>1</v>
      </c>
      <c r="K46" s="45">
        <f>SUM(K37:K45)</f>
        <v>0</v>
      </c>
      <c r="L46" s="43"/>
      <c r="M46" s="47">
        <f>SUM(M33:M45)</f>
        <v>7</v>
      </c>
      <c r="N46" s="42">
        <f>SUM(N37:N45)</f>
        <v>7</v>
      </c>
      <c r="O46" s="42">
        <f>SUM(O37:O45)</f>
        <v>2</v>
      </c>
      <c r="P46" s="48">
        <f>SUM(P37:P45)</f>
        <v>2</v>
      </c>
      <c r="Q46" s="124"/>
      <c r="R46" s="124"/>
    </row>
    <row r="47" spans="1:19" s="4" customFormat="1" ht="24">
      <c r="A47" s="116"/>
      <c r="B47" s="117"/>
      <c r="C47" s="117"/>
      <c r="D47" s="117"/>
      <c r="E47" s="118"/>
      <c r="F47" s="119"/>
      <c r="G47" s="135">
        <f>SUM(G46:K46)</f>
        <v>9</v>
      </c>
      <c r="H47" s="136"/>
      <c r="I47" s="136"/>
      <c r="J47" s="136"/>
      <c r="K47" s="137"/>
      <c r="L47" s="128"/>
      <c r="M47" s="129"/>
      <c r="N47" s="130">
        <f>SUM(N46:O46)</f>
        <v>9</v>
      </c>
      <c r="O47" s="131"/>
      <c r="P47" s="132"/>
      <c r="Q47" s="134" t="str">
        <f>IF(O46&gt;=1,"Memenuhi","Tidak Memenuhi")</f>
        <v>Memenuhi</v>
      </c>
      <c r="R47" s="134" t="str">
        <f>IF(R37&gt;=40%,"Memenuhi","Tidak Memenuhi")</f>
        <v>Memenuhi</v>
      </c>
      <c r="S47" s="115"/>
    </row>
    <row r="48" spans="1:19" s="4" customFormat="1">
      <c r="A48" s="104"/>
      <c r="B48" s="104"/>
      <c r="C48" s="104"/>
      <c r="D48" s="104"/>
      <c r="P48" s="3"/>
      <c r="Q48" s="3"/>
      <c r="R48" s="3"/>
    </row>
  </sheetData>
  <mergeCells count="42">
    <mergeCell ref="R37:R46"/>
    <mergeCell ref="G47:K47"/>
    <mergeCell ref="N47:O47"/>
    <mergeCell ref="Q37:Q46"/>
    <mergeCell ref="F34:F35"/>
    <mergeCell ref="G34:K34"/>
    <mergeCell ref="L34:M34"/>
    <mergeCell ref="N34:P34"/>
    <mergeCell ref="Q34:R34"/>
    <mergeCell ref="A34:A35"/>
    <mergeCell ref="B34:B35"/>
    <mergeCell ref="C34:C35"/>
    <mergeCell ref="D34:D35"/>
    <mergeCell ref="E34:E35"/>
    <mergeCell ref="G32:K32"/>
    <mergeCell ref="N32:O32"/>
    <mergeCell ref="Q18:Q31"/>
    <mergeCell ref="A15:A16"/>
    <mergeCell ref="B15:B16"/>
    <mergeCell ref="C15:C16"/>
    <mergeCell ref="D15:D16"/>
    <mergeCell ref="E15:E16"/>
    <mergeCell ref="F15:F16"/>
    <mergeCell ref="G15:K15"/>
    <mergeCell ref="L15:M15"/>
    <mergeCell ref="N15:P15"/>
    <mergeCell ref="Q15:R15"/>
    <mergeCell ref="R18:R31"/>
    <mergeCell ref="Q2:R2"/>
    <mergeCell ref="Q5:Q12"/>
    <mergeCell ref="R5:R12"/>
    <mergeCell ref="G13:K13"/>
    <mergeCell ref="N13:O13"/>
    <mergeCell ref="A2:A3"/>
    <mergeCell ref="B2:B3"/>
    <mergeCell ref="C2:C3"/>
    <mergeCell ref="D2:D3"/>
    <mergeCell ref="E2:E3"/>
    <mergeCell ref="L2:M2"/>
    <mergeCell ref="N2:P2"/>
    <mergeCell ref="F2:F3"/>
    <mergeCell ref="G2:K2"/>
  </mergeCells>
  <printOptions horizontalCentered="1"/>
  <pageMargins left="0.39370078740157483" right="1.1811023622047245" top="0.39370078740157483" bottom="0.43307086614173229" header="0.31496062992125984" footer="0.31496062992125984"/>
  <pageSetup paperSize="5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PDDIKTI-2025</vt:lpstr>
      <vt:lpstr>'PDDIKTI-2025'!Print_Area</vt:lpstr>
      <vt:lpstr>'PDDIKTI-2025'!Print_Titles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Tri Raharjo, SE</dc:creator>
  <cp:lastModifiedBy>Irfan Tri Raharjo, SE</cp:lastModifiedBy>
  <dcterms:created xsi:type="dcterms:W3CDTF">2025-02-05T01:32:43Z</dcterms:created>
  <dcterms:modified xsi:type="dcterms:W3CDTF">2025-02-05T02:27:00Z</dcterms:modified>
</cp:coreProperties>
</file>
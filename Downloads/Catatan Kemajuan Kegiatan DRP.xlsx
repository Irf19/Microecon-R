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EB06EC2-1FD4-470C-B416-ED6C6DDAB6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kap" sheetId="2" r:id="rId1"/>
    <sheet name="Sheet3" sheetId="3" state="hidden" r:id="rId2"/>
  </sheets>
  <definedNames>
    <definedName name="_xlnm._FilterDatabase" localSheetId="0" hidden="1">Rekap!$A$1:$H$28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2" l="1"/>
  <c r="F28" i="2"/>
  <c r="G3" i="2"/>
  <c r="F9" i="2" l="1"/>
</calcChain>
</file>

<file path=xl/sharedStrings.xml><?xml version="1.0" encoding="utf-8"?>
<sst xmlns="http://schemas.openxmlformats.org/spreadsheetml/2006/main" count="129" uniqueCount="62">
  <si>
    <t>Topik Pembahasan</t>
  </si>
  <si>
    <t>Meningkatnya jumlah kendaraan dan pengunjung perumahan yang keluar/masuk area perumahan, sehingga dirasa perlu untuk meningkatkan kewaspadaan bersama terkait keamanan, batas kecepatan berkendara, serta pendataan pengunjung.</t>
  </si>
  <si>
    <t>Polemik kompensasi/pembayaran yang diterima petugas keamanan yang dirasa perlu ditingkatkan guna perbaikan kualitas pelayanan.</t>
  </si>
  <si>
    <t>Belum tegaknya aturan arus lalu lintas 1 arah di lingkungan perumahan.</t>
  </si>
  <si>
    <t>Kerapihan parkir pengunjung perumahan sejauh ini masih belum ada solusi dan masih berlarut-larut.</t>
  </si>
  <si>
    <t>Belum ada aturan tata tertib perum DRP yang baku terkait banyak hal, semisal: Jam kunjung dan tempat bertamu bagi pemilik kos, pelaporan penghuni kos/kontrakan baru kepada pengurus perumahan DRP, dll.</t>
  </si>
  <si>
    <t>Tidak ada forum pertemuan/komunikasi rutin warga.</t>
  </si>
  <si>
    <t>Drafting peraturan baku perum DRP (terkait banyak hal: aturan berkunjung, speed limit, SOP petugas keamanan, interaksi lawan jenis yang tidak menikah, dll) untuk kemudian disepakati bersama.</t>
  </si>
  <si>
    <t>Peninjauan kembali kompensasi/gaji untuk para petugas keamanan oleh pengurus baru.</t>
  </si>
  <si>
    <t>Akan dibahas oleh kepengurusan yang baru.</t>
  </si>
  <si>
    <t>Solusi Yang Disepakati</t>
  </si>
  <si>
    <t>PIC</t>
  </si>
  <si>
    <t>Sumber Dana</t>
  </si>
  <si>
    <t>Estimasi Penyelesaian</t>
  </si>
  <si>
    <t>Tidak adanya rotasi kepengurusan organisasi perumahan (Ketua, Bendahara, dan Sekretaris).</t>
  </si>
  <si>
    <t>Perbaikan area depan perumahan Dinoyo Royal Park</t>
  </si>
  <si>
    <t>Merapikan / mencabut tanaman-tanaman yang berada di taman depan DRP</t>
  </si>
  <si>
    <t>Pak Sugik, Pak Bambang, Pak Potro</t>
  </si>
  <si>
    <t>7 hari</t>
  </si>
  <si>
    <t>Penggantian lampu sepanjang dinding area belakang perumahan dan lampu sorot putih untuk tulisan DRP di area depan perumahan</t>
  </si>
  <si>
    <t>Pak Didik</t>
  </si>
  <si>
    <t>Belanja tanaman hias dan rumput dan pengerjaan taman area depan perumahan DRP</t>
  </si>
  <si>
    <t>Pemasangan CCTV untuk memantau akses masuk dan keluar gerbang perumahan DRP</t>
  </si>
  <si>
    <t>Sumbangan Mas Riza Kav. 28</t>
  </si>
  <si>
    <t>Mas Riza dan dikerjakan oleh Oxygen CCTV Suhat</t>
  </si>
  <si>
    <t>Pemasangan plang tata tertib / aturan masuk perumahan DRP</t>
  </si>
  <si>
    <t>Pemasangan polisi tidur / rubber speed bump di gerbang masuk perumahan DRP untuk memperlambat tamu ketika mengambil kartu tamu</t>
  </si>
  <si>
    <t>Mas Riza Kav. 28</t>
  </si>
  <si>
    <t>Pencetakan kartu tamu perumahan DRP sejumlah 100 pcs dan stiker bagi penghuni tetap perumahan DRP</t>
  </si>
  <si>
    <t>Rencana akan dicetakkan oleh Mas Aka Kav. 44</t>
  </si>
  <si>
    <t>Rencana akan dibeli oleh Mas Riza Kav. 28</t>
  </si>
  <si>
    <t>Pengurus DRP</t>
  </si>
  <si>
    <t>Perlunya dilakukan perbaikan pintu toilet di pos keamanan.</t>
  </si>
  <si>
    <t xml:space="preserve">Penurunan kualitas kerapihan serta estetika lingkungan perumahan. Semisal: Tanah kosong menjadi tempat pembuangan sisa pembangunan / uruk, jemuran yang diletakkan tidak pada tempat yang semestinya, air mancur yang rusak </t>
  </si>
  <si>
    <t>No.</t>
  </si>
  <si>
    <t>Sumbangan</t>
  </si>
  <si>
    <t>Kas DRP</t>
  </si>
  <si>
    <t>Status</t>
  </si>
  <si>
    <t>Pembentukan pengurus baru (yang terdiri dari Ketua, Bendahara, Sekretaris) dengan cara undian  pada Juli 2024. 
Pengurus lama/yang pernah menjabat tidak lagi bisa terlibat dalam kepengurusan baru. Pengurus baru kemudian akan melanjutkan proses perbaikan sesuai dengan point-point yang tertera di bawah.</t>
  </si>
  <si>
    <t>Supervisor: Pak Agus
Sub: Pak Ririt</t>
  </si>
  <si>
    <t>Selesai</t>
  </si>
  <si>
    <t>Belum</t>
  </si>
  <si>
    <t>Proses</t>
  </si>
  <si>
    <t>3 hari</t>
  </si>
  <si>
    <t>Tidak ditemukan adanya prosedur standard untuk pelaksanaan tugas oleh petugas keamanan.</t>
  </si>
  <si>
    <t>Penambahan tugas kepengurusan taman kepada petugas keamanan hari demi hari dinilai menurunkan kinerja pengawasan keamanan lingkungan. 
Petugas keamanan menjadi sering meninggalkan pos penjagaan.</t>
  </si>
  <si>
    <t>Untuk tanah kosong bisa dibersihkan dan diratakan, sesudah bersih dapat dimanfaatkan sebagai area parkir dengan seijin pemilik tanah.</t>
  </si>
  <si>
    <t xml:space="preserve">Aktivasi pancuran depan. Apakah akan dijadikan kolam pancur, atau dialih-fungsikan menjadi pot bunga/tugu/dan lainnya. 
</t>
  </si>
  <si>
    <t xml:space="preserve">Mas Faris Kav. 8 </t>
  </si>
  <si>
    <t xml:space="preserve">Sumbangan Mas Faris Kav. 28 </t>
  </si>
  <si>
    <t>Pengecatan dinding depan perumahan, pos, tembok taman depan DRP. (sumbangan Mas Faris, kav.8).
Pengecatan portal dan pagar perumahan (kas DRP)</t>
  </si>
  <si>
    <t>-</t>
  </si>
  <si>
    <t>5-7 hari</t>
  </si>
  <si>
    <t>Pending</t>
  </si>
  <si>
    <r>
      <t xml:space="preserve">Drafting tata tertib perumahan DRP (terkait banyak hal: aturan berkunjung, speed limit, </t>
    </r>
    <r>
      <rPr>
        <b/>
        <sz val="12"/>
        <color theme="1"/>
        <rFont val="Ebrima"/>
      </rPr>
      <t>SOP petugas keamanan</t>
    </r>
    <r>
      <rPr>
        <sz val="12"/>
        <color theme="1"/>
        <rFont val="Ebrima"/>
      </rPr>
      <t>, interaksi lawan jenis yang tidak menikah, dll) untuk kemudian disepakati bersama mengacu kepada tata tertib lama yang telah disepakati</t>
    </r>
  </si>
  <si>
    <t xml:space="preserve">CATATAN KEMAJUAN PROGRAM &amp; KEGIATAN WARGA
DINOYO ROYAL PARK
</t>
  </si>
  <si>
    <t>Pendataan Warga (KTP, KK, BPJS)</t>
  </si>
  <si>
    <t>Data terkumpul lebih dari 23 KK, telah dikumpulkan ke pengurus RT 01, RW 10</t>
  </si>
  <si>
    <t>Perbaikan pipa saluran air depan kavling 37-38 dan 32</t>
  </si>
  <si>
    <t>Perbaikan pipa saluran PDAM lama yang masih menggunakan pipa paralon dengan kondisi bocor. Dana perbaikan merupakan donasi dan kas warga. Tim perbaikan disediakan oleh Bpk. Faris, kavling 8</t>
  </si>
  <si>
    <t>Identifikasi dan rencana perbaikan saluran drainase dan pipa PDAM depan rumah warga</t>
  </si>
  <si>
    <t>Tindak lanjut rencana dan hasil perbaikan akan diusulkan oleh pengurus lama ke pengurus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</si>
</sst>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Ebrima"/>
    </font>
    <font>
      <b/>
      <sz val="12"/>
      <color theme="1"/>
      <name val="Ebrima"/>
    </font>
    <font>
      <b/>
      <sz val="12"/>
      <color theme="0"/>
      <name val="Ebrima"/>
    </font>
    <font>
      <b/>
      <sz val="16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center" vertical="justify"/>
    </xf>
    <xf numFmtId="0" fontId="1" fillId="0" borderId="0" xfId="0" applyFont="1" applyAlignment="1">
      <alignment horizontal="justify" vertical="justify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2" fillId="2" borderId="1" xfId="0" quotePrefix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quotePrefix="1" applyFont="1" applyBorder="1" applyAlignment="1">
      <alignment horizontal="justify" vertical="center"/>
    </xf>
    <xf numFmtId="0" fontId="2" fillId="0" borderId="1" xfId="0" applyFont="1" applyBorder="1" applyAlignment="1">
      <alignment horizontal="justify" vertical="center"/>
    </xf>
    <xf numFmtId="0" fontId="2" fillId="2" borderId="1" xfId="0" applyFont="1" applyFill="1" applyBorder="1" applyAlignment="1">
      <alignment horizontal="justify" vertical="center"/>
    </xf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justify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2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justify"/>
    </xf>
    <xf numFmtId="0" fontId="3" fillId="0" borderId="1" xfId="0" applyFont="1" applyBorder="1" applyAlignment="1">
      <alignment horizontal="left" vertical="justify"/>
    </xf>
    <xf numFmtId="0" fontId="3" fillId="2" borderId="1" xfId="0" applyFont="1" applyFill="1" applyBorder="1" applyAlignment="1">
      <alignment horizontal="left" vertical="center" wrapText="1"/>
    </xf>
    <xf numFmtId="3" fontId="1" fillId="4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justify" wrapText="1"/>
    </xf>
    <xf numFmtId="0" fontId="2" fillId="0" borderId="1" xfId="0" quotePrefix="1" applyFont="1" applyBorder="1" applyAlignment="1">
      <alignment horizontal="justify" vertical="top" wrapText="1"/>
    </xf>
    <xf numFmtId="0" fontId="2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1" fillId="0" borderId="0" xfId="1" applyNumberFormat="1" applyFont="1" applyAlignment="1">
      <alignment horizontal="left" vertical="justify"/>
    </xf>
    <xf numFmtId="165" fontId="2" fillId="0" borderId="1" xfId="1" applyNumberFormat="1" applyFont="1" applyBorder="1" applyAlignment="1">
      <alignment horizontal="left" vertical="center" wrapText="1"/>
    </xf>
    <xf numFmtId="165" fontId="2" fillId="0" borderId="1" xfId="1" quotePrefix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22" fontId="5" fillId="0" borderId="8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3">
    <dxf>
      <font>
        <b/>
        <i val="0"/>
      </font>
      <fill>
        <patternFill>
          <bgColor rgb="FF92D050"/>
        </patternFill>
      </fill>
    </dxf>
    <dxf>
      <font>
        <b/>
        <i/>
        <color theme="3"/>
      </font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showGridLines="0" tabSelected="1" topLeftCell="A24" zoomScale="60" zoomScaleNormal="60" workbookViewId="0">
      <selection activeCell="L10" sqref="L10"/>
    </sheetView>
  </sheetViews>
  <sheetFormatPr defaultColWidth="9.140625" defaultRowHeight="15.75" x14ac:dyDescent="0.25"/>
  <cols>
    <col min="1" max="1" width="5.5703125" style="3" customWidth="1"/>
    <col min="2" max="2" width="45.5703125" style="15" customWidth="1"/>
    <col min="3" max="3" width="53.5703125" style="4" customWidth="1"/>
    <col min="4" max="4" width="25.5703125" style="5" customWidth="1"/>
    <col min="5" max="5" width="24" style="4" customWidth="1"/>
    <col min="6" max="6" width="17.7109375" style="13" customWidth="1"/>
    <col min="7" max="7" width="18.85546875" style="3" customWidth="1"/>
    <col min="8" max="8" width="13.7109375" style="2" customWidth="1"/>
    <col min="9" max="16384" width="9.140625" style="2"/>
  </cols>
  <sheetData>
    <row r="1" spans="1:8" ht="44.25" customHeight="1" x14ac:dyDescent="0.25">
      <c r="A1" s="38" t="s">
        <v>55</v>
      </c>
      <c r="B1" s="38"/>
      <c r="C1" s="38"/>
      <c r="D1" s="38"/>
      <c r="E1" s="38"/>
      <c r="F1" s="38"/>
      <c r="G1" s="38"/>
      <c r="H1" s="38"/>
    </row>
    <row r="2" spans="1:8" ht="44.25" customHeight="1" x14ac:dyDescent="0.25">
      <c r="A2" s="39"/>
      <c r="B2" s="39"/>
      <c r="C2" s="39"/>
      <c r="D2" s="39"/>
      <c r="E2" s="39"/>
      <c r="F2" s="39"/>
      <c r="G2" s="39"/>
      <c r="H2" s="39"/>
    </row>
    <row r="3" spans="1:8" ht="21" x14ac:dyDescent="0.25">
      <c r="A3" s="53"/>
      <c r="B3" s="53"/>
      <c r="C3" s="53"/>
      <c r="D3" s="53"/>
      <c r="E3" s="53"/>
      <c r="F3" s="53"/>
      <c r="G3" s="54">
        <f ca="1">NOW()</f>
        <v>45883.218149768516</v>
      </c>
      <c r="H3" s="54"/>
    </row>
    <row r="4" spans="1:8" s="1" customFormat="1" ht="17.25" x14ac:dyDescent="0.25">
      <c r="A4" s="46" t="s">
        <v>34</v>
      </c>
      <c r="B4" s="46" t="s">
        <v>0</v>
      </c>
      <c r="C4" s="46" t="s">
        <v>10</v>
      </c>
      <c r="D4" s="46" t="s">
        <v>11</v>
      </c>
      <c r="E4" s="44" t="s">
        <v>12</v>
      </c>
      <c r="F4" s="45"/>
      <c r="G4" s="36" t="s">
        <v>13</v>
      </c>
      <c r="H4" s="36" t="s">
        <v>37</v>
      </c>
    </row>
    <row r="5" spans="1:8" s="1" customFormat="1" ht="17.25" x14ac:dyDescent="0.25">
      <c r="A5" s="47"/>
      <c r="B5" s="47"/>
      <c r="C5" s="47"/>
      <c r="D5" s="47"/>
      <c r="E5" s="14" t="s">
        <v>35</v>
      </c>
      <c r="F5" s="19" t="s">
        <v>36</v>
      </c>
      <c r="G5" s="37"/>
      <c r="H5" s="37"/>
    </row>
    <row r="6" spans="1:8" ht="46.5" customHeight="1" x14ac:dyDescent="0.25">
      <c r="A6" s="40">
        <v>1</v>
      </c>
      <c r="B6" s="42" t="s">
        <v>15</v>
      </c>
      <c r="C6" s="10" t="s">
        <v>16</v>
      </c>
      <c r="D6" s="18" t="s">
        <v>17</v>
      </c>
      <c r="E6" s="30" t="s">
        <v>51</v>
      </c>
      <c r="F6" s="20">
        <v>350000</v>
      </c>
      <c r="G6" s="6" t="s">
        <v>18</v>
      </c>
      <c r="H6" s="27" t="s">
        <v>40</v>
      </c>
    </row>
    <row r="7" spans="1:8" ht="91.5" customHeight="1" x14ac:dyDescent="0.25">
      <c r="A7" s="48"/>
      <c r="B7" s="49"/>
      <c r="C7" s="21" t="s">
        <v>50</v>
      </c>
      <c r="D7" s="21" t="s">
        <v>48</v>
      </c>
      <c r="E7" s="16" t="s">
        <v>49</v>
      </c>
      <c r="F7" s="20">
        <v>242000</v>
      </c>
      <c r="G7" s="6" t="s">
        <v>43</v>
      </c>
      <c r="H7" s="27" t="s">
        <v>40</v>
      </c>
    </row>
    <row r="8" spans="1:8" ht="51.75" x14ac:dyDescent="0.25">
      <c r="A8" s="48"/>
      <c r="B8" s="49"/>
      <c r="C8" s="10" t="s">
        <v>19</v>
      </c>
      <c r="D8" s="18" t="s">
        <v>20</v>
      </c>
      <c r="E8" s="30" t="s">
        <v>51</v>
      </c>
      <c r="F8" s="20">
        <v>710000</v>
      </c>
      <c r="G8" s="6" t="s">
        <v>43</v>
      </c>
      <c r="H8" s="27" t="s">
        <v>40</v>
      </c>
    </row>
    <row r="9" spans="1:8" ht="34.5" x14ac:dyDescent="0.25">
      <c r="A9" s="41"/>
      <c r="B9" s="43"/>
      <c r="C9" s="10" t="s">
        <v>21</v>
      </c>
      <c r="D9" s="18" t="s">
        <v>39</v>
      </c>
      <c r="E9" s="30" t="s">
        <v>51</v>
      </c>
      <c r="F9" s="20">
        <f>1933500+450000</f>
        <v>2383500</v>
      </c>
      <c r="G9" s="6" t="s">
        <v>43</v>
      </c>
      <c r="H9" s="27" t="s">
        <v>40</v>
      </c>
    </row>
    <row r="10" spans="1:8" ht="132" customHeight="1" x14ac:dyDescent="0.25">
      <c r="A10" s="6">
        <v>2</v>
      </c>
      <c r="B10" s="22" t="s">
        <v>14</v>
      </c>
      <c r="C10" s="7" t="s">
        <v>38</v>
      </c>
      <c r="D10" s="17" t="s">
        <v>31</v>
      </c>
      <c r="E10" s="30" t="s">
        <v>51</v>
      </c>
      <c r="F10" s="17"/>
      <c r="G10" s="6" t="s">
        <v>43</v>
      </c>
      <c r="H10" s="27" t="s">
        <v>40</v>
      </c>
    </row>
    <row r="11" spans="1:8" ht="51.75" x14ac:dyDescent="0.25">
      <c r="A11" s="40">
        <v>3</v>
      </c>
      <c r="B11" s="50" t="s">
        <v>1</v>
      </c>
      <c r="C11" s="8" t="s">
        <v>22</v>
      </c>
      <c r="D11" s="8" t="s">
        <v>24</v>
      </c>
      <c r="E11" s="16" t="s">
        <v>23</v>
      </c>
      <c r="F11" s="16"/>
      <c r="G11" s="6" t="s">
        <v>43</v>
      </c>
      <c r="H11" s="27" t="s">
        <v>40</v>
      </c>
    </row>
    <row r="12" spans="1:8" ht="34.5" x14ac:dyDescent="0.25">
      <c r="A12" s="48"/>
      <c r="B12" s="51"/>
      <c r="C12" s="8" t="s">
        <v>25</v>
      </c>
      <c r="D12" s="8" t="s">
        <v>27</v>
      </c>
      <c r="E12" s="16" t="s">
        <v>23</v>
      </c>
      <c r="F12" s="16"/>
      <c r="G12" s="6" t="s">
        <v>43</v>
      </c>
      <c r="H12" s="27" t="s">
        <v>40</v>
      </c>
    </row>
    <row r="13" spans="1:8" ht="69" x14ac:dyDescent="0.25">
      <c r="A13" s="48"/>
      <c r="B13" s="51"/>
      <c r="C13" s="8" t="s">
        <v>26</v>
      </c>
      <c r="D13" s="8" t="s">
        <v>30</v>
      </c>
      <c r="E13" s="30" t="s">
        <v>51</v>
      </c>
      <c r="F13" s="16"/>
      <c r="G13" s="6" t="s">
        <v>52</v>
      </c>
      <c r="H13" s="27" t="s">
        <v>40</v>
      </c>
    </row>
    <row r="14" spans="1:8" ht="51.75" x14ac:dyDescent="0.25">
      <c r="A14" s="41"/>
      <c r="B14" s="52"/>
      <c r="C14" s="8" t="s">
        <v>28</v>
      </c>
      <c r="D14" s="8" t="s">
        <v>29</v>
      </c>
      <c r="E14" s="30" t="s">
        <v>51</v>
      </c>
      <c r="F14" s="16"/>
      <c r="G14" s="6" t="s">
        <v>43</v>
      </c>
      <c r="H14" s="31" t="s">
        <v>53</v>
      </c>
    </row>
    <row r="15" spans="1:8" ht="103.5" x14ac:dyDescent="0.25">
      <c r="A15" s="6">
        <v>4</v>
      </c>
      <c r="B15" s="22" t="s">
        <v>44</v>
      </c>
      <c r="C15" s="11" t="s">
        <v>54</v>
      </c>
      <c r="D15" s="17" t="s">
        <v>31</v>
      </c>
      <c r="E15" s="30" t="s">
        <v>51</v>
      </c>
      <c r="F15" s="17"/>
      <c r="G15" s="6" t="s">
        <v>43</v>
      </c>
      <c r="H15" s="31" t="s">
        <v>40</v>
      </c>
    </row>
    <row r="16" spans="1:8" ht="110.25" customHeight="1" x14ac:dyDescent="0.25">
      <c r="A16" s="6">
        <v>5</v>
      </c>
      <c r="B16" s="28" t="s">
        <v>45</v>
      </c>
      <c r="C16" s="16" t="s">
        <v>9</v>
      </c>
      <c r="D16" s="16" t="s">
        <v>31</v>
      </c>
      <c r="E16" s="30" t="s">
        <v>51</v>
      </c>
      <c r="F16" s="16"/>
      <c r="G16" s="6"/>
      <c r="H16" s="31" t="s">
        <v>40</v>
      </c>
    </row>
    <row r="17" spans="1:8" ht="69" x14ac:dyDescent="0.25">
      <c r="A17" s="6">
        <v>6</v>
      </c>
      <c r="B17" s="24" t="s">
        <v>2</v>
      </c>
      <c r="C17" s="17" t="s">
        <v>8</v>
      </c>
      <c r="D17" s="16" t="s">
        <v>31</v>
      </c>
      <c r="E17" s="30" t="s">
        <v>51</v>
      </c>
      <c r="F17" s="17"/>
      <c r="G17" s="6"/>
      <c r="H17" s="31" t="s">
        <v>40</v>
      </c>
    </row>
    <row r="18" spans="1:8" ht="42" customHeight="1" x14ac:dyDescent="0.25">
      <c r="A18" s="6">
        <v>7</v>
      </c>
      <c r="B18" s="23" t="s">
        <v>32</v>
      </c>
      <c r="C18" s="9" t="s">
        <v>9</v>
      </c>
      <c r="D18" s="16" t="s">
        <v>31</v>
      </c>
      <c r="E18" s="30" t="s">
        <v>51</v>
      </c>
      <c r="F18" s="16"/>
      <c r="G18" s="6"/>
      <c r="H18" s="31" t="s">
        <v>41</v>
      </c>
    </row>
    <row r="19" spans="1:8" ht="106.5" customHeight="1" x14ac:dyDescent="0.25">
      <c r="A19" s="6">
        <v>8</v>
      </c>
      <c r="B19" s="22" t="s">
        <v>3</v>
      </c>
      <c r="C19" s="11" t="s">
        <v>7</v>
      </c>
      <c r="D19" s="16" t="s">
        <v>31</v>
      </c>
      <c r="E19" s="30" t="s">
        <v>51</v>
      </c>
      <c r="F19" s="17"/>
      <c r="G19" s="6"/>
      <c r="H19" s="31" t="s">
        <v>40</v>
      </c>
    </row>
    <row r="20" spans="1:8" ht="86.25" customHeight="1" x14ac:dyDescent="0.25">
      <c r="A20" s="6">
        <v>9</v>
      </c>
      <c r="B20" s="25" t="s">
        <v>4</v>
      </c>
      <c r="C20" s="12" t="s">
        <v>7</v>
      </c>
      <c r="D20" s="16" t="s">
        <v>31</v>
      </c>
      <c r="E20" s="30" t="s">
        <v>51</v>
      </c>
      <c r="F20" s="16"/>
      <c r="G20" s="6"/>
      <c r="H20" s="31" t="s">
        <v>40</v>
      </c>
    </row>
    <row r="21" spans="1:8" ht="107.25" customHeight="1" x14ac:dyDescent="0.25">
      <c r="A21" s="6">
        <v>10</v>
      </c>
      <c r="B21" s="24" t="s">
        <v>5</v>
      </c>
      <c r="C21" s="11" t="s">
        <v>7</v>
      </c>
      <c r="D21" s="16" t="s">
        <v>31</v>
      </c>
      <c r="E21" s="30" t="s">
        <v>51</v>
      </c>
      <c r="F21" s="17"/>
      <c r="G21" s="6"/>
      <c r="H21" s="31" t="s">
        <v>53</v>
      </c>
    </row>
    <row r="22" spans="1:8" ht="40.5" customHeight="1" x14ac:dyDescent="0.25">
      <c r="A22" s="6">
        <v>11</v>
      </c>
      <c r="B22" s="23" t="s">
        <v>6</v>
      </c>
      <c r="C22" s="9" t="s">
        <v>9</v>
      </c>
      <c r="D22" s="16" t="s">
        <v>31</v>
      </c>
      <c r="E22" s="30" t="s">
        <v>51</v>
      </c>
      <c r="F22" s="16"/>
      <c r="G22" s="6"/>
      <c r="H22" s="31" t="s">
        <v>40</v>
      </c>
    </row>
    <row r="23" spans="1:8" ht="60" customHeight="1" x14ac:dyDescent="0.25">
      <c r="A23" s="40">
        <v>12</v>
      </c>
      <c r="B23" s="42" t="s">
        <v>33</v>
      </c>
      <c r="C23" s="8" t="s">
        <v>46</v>
      </c>
      <c r="D23" s="8" t="s">
        <v>27</v>
      </c>
      <c r="E23" s="16" t="s">
        <v>23</v>
      </c>
      <c r="F23" s="16"/>
      <c r="G23" s="6"/>
      <c r="H23" s="31" t="s">
        <v>40</v>
      </c>
    </row>
    <row r="24" spans="1:8" ht="76.5" customHeight="1" x14ac:dyDescent="0.25">
      <c r="A24" s="41"/>
      <c r="B24" s="43"/>
      <c r="C24" s="29" t="s">
        <v>47</v>
      </c>
      <c r="D24" s="16" t="s">
        <v>31</v>
      </c>
      <c r="E24" s="30" t="s">
        <v>51</v>
      </c>
      <c r="F24" s="33">
        <v>903500</v>
      </c>
      <c r="G24" s="6"/>
      <c r="H24" s="31" t="s">
        <v>40</v>
      </c>
    </row>
    <row r="25" spans="1:8" ht="76.5" customHeight="1" x14ac:dyDescent="0.25">
      <c r="A25" s="6">
        <v>13</v>
      </c>
      <c r="B25" s="22" t="s">
        <v>56</v>
      </c>
      <c r="C25" s="29" t="s">
        <v>57</v>
      </c>
      <c r="D25" s="16" t="s">
        <v>31</v>
      </c>
      <c r="E25" s="30" t="s">
        <v>51</v>
      </c>
      <c r="F25" s="35" t="s">
        <v>51</v>
      </c>
      <c r="G25" s="6"/>
      <c r="H25" s="31" t="s">
        <v>40</v>
      </c>
    </row>
    <row r="26" spans="1:8" ht="91.5" customHeight="1" x14ac:dyDescent="0.25">
      <c r="A26" s="6">
        <v>14</v>
      </c>
      <c r="B26" s="22" t="s">
        <v>58</v>
      </c>
      <c r="C26" s="29" t="s">
        <v>59</v>
      </c>
      <c r="D26" s="16" t="s">
        <v>31</v>
      </c>
      <c r="E26" s="34">
        <v>10150000</v>
      </c>
      <c r="F26" s="35" t="s">
        <v>51</v>
      </c>
      <c r="G26" s="6"/>
      <c r="H26" s="31" t="s">
        <v>40</v>
      </c>
    </row>
    <row r="27" spans="1:8" ht="76.5" customHeight="1" x14ac:dyDescent="0.25">
      <c r="A27" s="6">
        <v>15</v>
      </c>
      <c r="B27" s="22" t="s">
        <v>60</v>
      </c>
      <c r="C27" s="29" t="s">
        <v>61</v>
      </c>
      <c r="D27" s="16" t="s">
        <v>31</v>
      </c>
      <c r="E27" s="30" t="s">
        <v>51</v>
      </c>
      <c r="F27" s="35" t="s">
        <v>51</v>
      </c>
      <c r="G27" s="6"/>
      <c r="H27" s="31" t="s">
        <v>40</v>
      </c>
    </row>
    <row r="28" spans="1:8" ht="13.5" customHeight="1" x14ac:dyDescent="0.25">
      <c r="E28" s="26">
        <f>SUM(E6:E27)</f>
        <v>10150000</v>
      </c>
      <c r="F28" s="26">
        <f>SUM(F6:F27)</f>
        <v>4589000</v>
      </c>
    </row>
    <row r="40" spans="2:2" x14ac:dyDescent="0.25">
      <c r="B40" s="32"/>
    </row>
  </sheetData>
  <mergeCells count="16">
    <mergeCell ref="H4:H5"/>
    <mergeCell ref="A1:H2"/>
    <mergeCell ref="A23:A24"/>
    <mergeCell ref="B23:B24"/>
    <mergeCell ref="E4:F4"/>
    <mergeCell ref="A4:A5"/>
    <mergeCell ref="B4:B5"/>
    <mergeCell ref="C4:C5"/>
    <mergeCell ref="D4:D5"/>
    <mergeCell ref="G4:G5"/>
    <mergeCell ref="A6:A9"/>
    <mergeCell ref="B6:B9"/>
    <mergeCell ref="A11:A14"/>
    <mergeCell ref="B11:B14"/>
    <mergeCell ref="A3:F3"/>
    <mergeCell ref="G3:H3"/>
  </mergeCells>
  <conditionalFormatting sqref="H6:H27">
    <cfRule type="containsText" dxfId="2" priority="1" operator="containsText" text="Belum">
      <formula>NOT(ISERROR(SEARCH("Belum",H6)))</formula>
    </cfRule>
    <cfRule type="containsText" dxfId="1" priority="2" operator="containsText" text="Proses">
      <formula>NOT(ISERROR(SEARCH("Proses",H6)))</formula>
    </cfRule>
    <cfRule type="containsText" dxfId="0" priority="3" operator="containsText" text="Selesai">
      <formula>NOT(ISERROR(SEARCH("Selesai",H6)))</formula>
    </cfRule>
  </conditionalFormatting>
  <pageMargins left="0.27559055118110237" right="0.31496062992125984" top="0.74803149606299213" bottom="0.74803149606299213" header="0.31496062992125984" footer="0.31496062992125984"/>
  <pageSetup paperSize="9" scale="75" fitToHeight="0" orientation="landscape" r:id="rId1"/>
  <headerFooter>
    <oddHeader>&amp;F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Sheet3!$B$3:$B$5</xm:f>
          </x14:formula1>
          <xm:sqref>H6:H13</xm:sqref>
        </x14:dataValidation>
        <x14:dataValidation type="list" allowBlank="1" showInputMessage="1" showErrorMessage="1" xr:uid="{00000000-0002-0000-0000-000001000000}">
          <x14:formula1>
            <xm:f>Sheet3!$B$3:$B$6</xm:f>
          </x14:formula1>
          <xm:sqref>H14:H27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6"/>
  <sheetViews>
    <sheetView workbookViewId="0">
      <selection activeCell="B7" sqref="B7"/>
    </sheetView>
  </sheetViews>
  <sheetFormatPr defaultRowHeight="15" x14ac:dyDescent="0.25"/>
  <sheetData>
    <row r="3" spans="2:2" x14ac:dyDescent="0.25">
      <c r="B3" t="s">
        <v>41</v>
      </c>
    </row>
    <row r="4" spans="2:2" x14ac:dyDescent="0.25">
      <c r="B4" t="s">
        <v>42</v>
      </c>
    </row>
    <row r="5" spans="2:2" x14ac:dyDescent="0.25">
      <c r="B5" t="s">
        <v>40</v>
      </c>
    </row>
    <row r="6" spans="2:2" x14ac:dyDescent="0.25">
      <c r="B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 Prima Harahap</dc:creator>
  <cp:lastModifiedBy>IRFAN TRI RAHARJO</cp:lastModifiedBy>
  <cp:lastPrinted>2024-07-21T11:20:23Z</cp:lastPrinted>
  <dcterms:created xsi:type="dcterms:W3CDTF">2024-06-23T00:02:47Z</dcterms:created>
  <dcterms:modified xsi:type="dcterms:W3CDTF">2025-08-13T22:54:01Z</dcterms:modified>
</cp:coreProperties>
</file>
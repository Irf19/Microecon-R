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5C51F91-5284-47C3-AF57-96BDBB1D60A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B30" i="1" l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V24" i="1" l="1"/>
  <c r="V20" i="1"/>
  <c r="V16" i="1"/>
  <c r="V8" i="1"/>
  <c r="V4" i="1"/>
  <c r="V22" i="1"/>
  <c r="V25" i="1"/>
  <c r="V27" i="1"/>
  <c r="V15" i="1"/>
  <c r="V7" i="1"/>
  <c r="V6" i="1"/>
  <c r="V13" i="1"/>
  <c r="U4" i="1"/>
  <c r="S23" i="1"/>
  <c r="V23" i="1" s="1"/>
  <c r="S15" i="1"/>
  <c r="S7" i="1"/>
  <c r="S22" i="1"/>
  <c r="S14" i="1"/>
  <c r="V14" i="1" s="1"/>
  <c r="S6" i="1"/>
  <c r="S27" i="1"/>
  <c r="S19" i="1"/>
  <c r="V19" i="1" s="1"/>
  <c r="S11" i="1"/>
  <c r="V11" i="1" s="1"/>
  <c r="S3" i="1"/>
  <c r="S26" i="1"/>
  <c r="V26" i="1" s="1"/>
  <c r="S18" i="1"/>
  <c r="V18" i="1" s="1"/>
  <c r="S10" i="1"/>
  <c r="V10" i="1" s="1"/>
  <c r="T3" i="1"/>
  <c r="S25" i="1"/>
  <c r="S21" i="1"/>
  <c r="V21" i="1" s="1"/>
  <c r="S17" i="1"/>
  <c r="V17" i="1" s="1"/>
  <c r="S13" i="1"/>
  <c r="S9" i="1"/>
  <c r="V9" i="1" s="1"/>
  <c r="S5" i="1"/>
  <c r="V5" i="1" s="1"/>
  <c r="S28" i="1"/>
  <c r="V28" i="1" s="1"/>
  <c r="S24" i="1"/>
  <c r="S20" i="1"/>
  <c r="S16" i="1"/>
  <c r="S12" i="1"/>
  <c r="V12" i="1" s="1"/>
  <c r="S8" i="1"/>
  <c r="S4" i="1"/>
  <c r="U27" i="1"/>
  <c r="U23" i="1"/>
  <c r="U19" i="1"/>
  <c r="U15" i="1"/>
  <c r="U11" i="1"/>
  <c r="U7" i="1"/>
  <c r="U26" i="1"/>
  <c r="U22" i="1"/>
  <c r="U18" i="1"/>
  <c r="U14" i="1"/>
  <c r="U10" i="1"/>
  <c r="U6" i="1"/>
  <c r="U3" i="1"/>
  <c r="U25" i="1"/>
  <c r="U21" i="1"/>
  <c r="U17" i="1"/>
  <c r="U13" i="1"/>
  <c r="U9" i="1"/>
  <c r="U5" i="1"/>
  <c r="U28" i="1"/>
  <c r="U24" i="1"/>
  <c r="U20" i="1"/>
  <c r="U16" i="1"/>
  <c r="U12" i="1"/>
  <c r="U8" i="1"/>
  <c r="T11" i="1" l="1"/>
  <c r="T15" i="1"/>
  <c r="T19" i="1"/>
  <c r="T23" i="1"/>
  <c r="T27" i="1"/>
  <c r="T14" i="1"/>
  <c r="T4" i="1"/>
  <c r="T8" i="1"/>
  <c r="T12" i="1"/>
  <c r="T16" i="1"/>
  <c r="T20" i="1"/>
  <c r="T24" i="1"/>
  <c r="T28" i="1"/>
  <c r="T10" i="1"/>
  <c r="T22" i="1"/>
  <c r="T5" i="1"/>
  <c r="T9" i="1"/>
  <c r="T13" i="1"/>
  <c r="T17" i="1"/>
  <c r="T21" i="1"/>
  <c r="T25" i="1"/>
  <c r="T6" i="1"/>
  <c r="T18" i="1"/>
  <c r="T26" i="1"/>
  <c r="S30" i="1" l="1"/>
  <c r="T7" i="1"/>
</calcChain>
</file>

<file path=xl/sharedStrings.xml><?xml version="1.0" encoding="utf-8"?>
<sst xmlns="http://schemas.openxmlformats.org/spreadsheetml/2006/main" count="50" uniqueCount="50">
  <si>
    <t>Laporan Survey</t>
  </si>
  <si>
    <t>Nama Unit</t>
  </si>
  <si>
    <t>rs1</t>
  </si>
  <si>
    <t>rs2</t>
  </si>
  <si>
    <t>qa1</t>
  </si>
  <si>
    <t>qa2</t>
  </si>
  <si>
    <t>emp1</t>
  </si>
  <si>
    <t>emp2</t>
  </si>
  <si>
    <t>pq1</t>
  </si>
  <si>
    <t>pq2</t>
  </si>
  <si>
    <t>fr1</t>
  </si>
  <si>
    <t>fr2</t>
  </si>
  <si>
    <t>fr3</t>
  </si>
  <si>
    <t>fr4</t>
  </si>
  <si>
    <t>esa1</t>
  </si>
  <si>
    <t>esa2</t>
  </si>
  <si>
    <t>esa3</t>
  </si>
  <si>
    <t>NRR</t>
  </si>
  <si>
    <t>Total</t>
  </si>
  <si>
    <t>AMPELGADING</t>
  </si>
  <si>
    <t>BANTUR</t>
  </si>
  <si>
    <t>BULULAWANG</t>
  </si>
  <si>
    <t>DAMPIT</t>
  </si>
  <si>
    <t>DAU</t>
  </si>
  <si>
    <t>DONOMULYO</t>
  </si>
  <si>
    <t>GONDANGLEGI</t>
  </si>
  <si>
    <t>JABUNG</t>
  </si>
  <si>
    <t>KARANGPLOSO</t>
  </si>
  <si>
    <t>KEPANJEN</t>
  </si>
  <si>
    <t>LAWANG</t>
  </si>
  <si>
    <t>NGAJUM</t>
  </si>
  <si>
    <t>NGANTANG</t>
  </si>
  <si>
    <t>PAGAK</t>
  </si>
  <si>
    <t>PAKIS</t>
  </si>
  <si>
    <t>PAKISAJI</t>
  </si>
  <si>
    <t>PONCOKUSUMO</t>
  </si>
  <si>
    <t>PUJON</t>
  </si>
  <si>
    <t>SAWOJAJAR</t>
  </si>
  <si>
    <t>SBR. MANJING W</t>
  </si>
  <si>
    <t>SINGOSARI</t>
  </si>
  <si>
    <t>TAJINAN</t>
  </si>
  <si>
    <t>TIRTOYUDO</t>
  </si>
  <si>
    <t>TUMPANG</t>
  </si>
  <si>
    <t>TUREN</t>
  </si>
  <si>
    <t>WAGIR</t>
  </si>
  <si>
    <t>Rerata</t>
  </si>
  <si>
    <t>GAP</t>
  </si>
  <si>
    <t>Status GAP</t>
  </si>
  <si>
    <t>Status Kinerja</t>
  </si>
  <si>
    <t>Kuadran
Matriks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</si>
</sst>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2" fontId="0" fillId="0" borderId="3" xfId="0" applyNumberFormat="1" applyBorder="1"/>
    <xf numFmtId="2" fontId="0" fillId="0" borderId="4" xfId="0" applyNumberFormat="1" applyBorder="1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0" fillId="0" borderId="1" xfId="0" applyNumberFormat="1" applyBorder="1"/>
    <xf numFmtId="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vertic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1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zoomScale="60" zoomScaleNormal="60" workbookViewId="0">
      <selection activeCell="V3" sqref="V3:V28"/>
    </sheetView>
  </sheetViews>
  <sheetFormatPr defaultRowHeight="15" x14ac:dyDescent="0.25"/>
  <cols>
    <col min="1" max="1" width="20.42578125" bestFit="1" customWidth="1"/>
    <col min="2" max="4" width="6" customWidth="1"/>
    <col min="5" max="5" width="6.28515625" bestFit="1" customWidth="1"/>
    <col min="6" max="6" width="8" bestFit="1" customWidth="1"/>
    <col min="7" max="7" width="8.42578125" bestFit="1" customWidth="1"/>
    <col min="8" max="8" width="5.85546875" bestFit="1" customWidth="1"/>
    <col min="9" max="9" width="6.28515625" bestFit="1" customWidth="1"/>
    <col min="10" max="13" width="5.5703125" bestFit="1" customWidth="1"/>
    <col min="14" max="14" width="7.28515625" bestFit="1" customWidth="1"/>
    <col min="15" max="17" width="7.7109375" bestFit="1" customWidth="1"/>
    <col min="18" max="18" width="8.42578125" bestFit="1" customWidth="1"/>
    <col min="19" max="19" width="10.5703125" style="1" customWidth="1"/>
    <col min="20" max="20" width="9.85546875" style="1" customWidth="1"/>
    <col min="21" max="21" width="10.42578125" style="1" bestFit="1" customWidth="1"/>
    <col min="22" max="22" width="29.140625" style="1" bestFit="1" customWidth="1"/>
  </cols>
  <sheetData>
    <row r="1" spans="1:22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2" ht="30" x14ac:dyDescent="0.25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7" t="s">
        <v>46</v>
      </c>
      <c r="T2" s="8" t="s">
        <v>47</v>
      </c>
      <c r="U2" s="8" t="s">
        <v>48</v>
      </c>
      <c r="V2" s="8" t="s">
        <v>49</v>
      </c>
    </row>
    <row r="3" spans="1:22" x14ac:dyDescent="0.25">
      <c r="A3" s="2" t="s">
        <v>19</v>
      </c>
      <c r="B3" s="9">
        <v>3.81</v>
      </c>
      <c r="C3" s="9">
        <v>3.83</v>
      </c>
      <c r="D3" s="9">
        <v>3.92</v>
      </c>
      <c r="E3" s="9">
        <v>3.85</v>
      </c>
      <c r="F3" s="9">
        <v>3.81</v>
      </c>
      <c r="G3" s="9">
        <v>3.8</v>
      </c>
      <c r="H3" s="9">
        <v>3.06</v>
      </c>
      <c r="I3" s="9">
        <v>3.11</v>
      </c>
      <c r="J3" s="9">
        <v>3.84</v>
      </c>
      <c r="K3" s="9">
        <v>3.82</v>
      </c>
      <c r="L3" s="9">
        <v>3.79</v>
      </c>
      <c r="M3" s="9">
        <v>3</v>
      </c>
      <c r="N3" s="9">
        <v>2.99</v>
      </c>
      <c r="O3" s="9">
        <v>3.9</v>
      </c>
      <c r="P3" s="9">
        <v>3.01</v>
      </c>
      <c r="Q3" s="9">
        <v>3.59</v>
      </c>
      <c r="R3" s="9">
        <v>89.65</v>
      </c>
      <c r="S3" s="9">
        <f>R3-$R$30</f>
        <v>-0.83653846153843858</v>
      </c>
      <c r="T3" s="10" t="str">
        <f>IF(S3&gt;=0,"Positif","Negatif")</f>
        <v>Negatif</v>
      </c>
      <c r="U3" s="11" t="str">
        <f>IF(R3&gt;=$R$30,"Tinggi","Rendah")</f>
        <v>Rendah</v>
      </c>
      <c r="V3" s="14" t="str">
        <f>IF(AND(R3&lt;$R$30,S3&lt;0),
   "Kuadran I - Prioritas Utama",
IF(AND(R3&gt;=$R$30,S3&gt;=0),
   "Kuadran II - Pertahankan",
IF(AND(R3&lt;$R$30,S3&gt;=0),
   "Kuadran III - Prioritas Rendah",
   "Kuadran IV - Berlebihan")))</f>
        <v>Kuadran I - Prioritas Utama</v>
      </c>
    </row>
    <row r="4" spans="1:22" x14ac:dyDescent="0.25">
      <c r="A4" s="2" t="s">
        <v>20</v>
      </c>
      <c r="B4" s="9">
        <v>4</v>
      </c>
      <c r="C4" s="9">
        <v>4</v>
      </c>
      <c r="D4" s="9">
        <v>4</v>
      </c>
      <c r="E4" s="9">
        <v>4</v>
      </c>
      <c r="F4" s="9">
        <v>4</v>
      </c>
      <c r="G4" s="9">
        <v>4</v>
      </c>
      <c r="H4" s="9">
        <v>3</v>
      </c>
      <c r="I4" s="9">
        <v>4</v>
      </c>
      <c r="J4" s="9">
        <v>4</v>
      </c>
      <c r="K4" s="9">
        <v>4</v>
      </c>
      <c r="L4" s="9">
        <v>4</v>
      </c>
      <c r="M4" s="9">
        <v>3</v>
      </c>
      <c r="N4" s="9">
        <v>4</v>
      </c>
      <c r="O4" s="9">
        <v>3</v>
      </c>
      <c r="P4" s="9">
        <v>4</v>
      </c>
      <c r="Q4" s="9">
        <v>3.82</v>
      </c>
      <c r="R4" s="9">
        <v>95.48</v>
      </c>
      <c r="S4" s="9">
        <f t="shared" ref="S4:S28" si="0">R4-$R$30</f>
        <v>4.9934615384615597</v>
      </c>
      <c r="T4" s="10" t="str">
        <f t="shared" ref="T4:T28" si="1">IF(S4&gt;=0,"Positif","Negatif")</f>
        <v>Positif</v>
      </c>
      <c r="U4" s="11" t="str">
        <f t="shared" ref="U4:U28" si="2">IF(R4&gt;=$R$30,"Tinggi","Rendah")</f>
        <v>Tinggi</v>
      </c>
      <c r="V4" s="14" t="str">
        <f>IF(AND(R4&lt;$R$30,S4&lt;0),
   "Kuadran I - Prioritas Utama",
IF(AND(R4&gt;=$R$30,S4&gt;=0),
   "Kuadran II - Pertahankan",
IF(AND(R4&lt;$R$30,S4&gt;=0),
   "Kuadran III - Prioritas Rendah",
   "Kuadran IV - Berlebihan")))</f>
        <v>Kuadran II - Pertahankan</v>
      </c>
    </row>
    <row r="5" spans="1:22" x14ac:dyDescent="0.25">
      <c r="A5" s="2" t="s">
        <v>21</v>
      </c>
      <c r="B5" s="9">
        <v>3.84</v>
      </c>
      <c r="C5" s="9">
        <v>3.94</v>
      </c>
      <c r="D5" s="9">
        <v>3.99</v>
      </c>
      <c r="E5" s="9">
        <v>3.84</v>
      </c>
      <c r="F5" s="9">
        <v>3.83</v>
      </c>
      <c r="G5" s="9">
        <v>3.83</v>
      </c>
      <c r="H5" s="9">
        <v>3.16</v>
      </c>
      <c r="I5" s="9">
        <v>3.1</v>
      </c>
      <c r="J5" s="9">
        <v>3.84</v>
      </c>
      <c r="K5" s="9">
        <v>3.84</v>
      </c>
      <c r="L5" s="9">
        <v>3.84</v>
      </c>
      <c r="M5" s="9">
        <v>3.01</v>
      </c>
      <c r="N5" s="9">
        <v>3.01</v>
      </c>
      <c r="O5" s="9">
        <v>3.94</v>
      </c>
      <c r="P5" s="9">
        <v>3.01</v>
      </c>
      <c r="Q5" s="9">
        <v>3.62</v>
      </c>
      <c r="R5" s="9">
        <v>90.5</v>
      </c>
      <c r="S5" s="9">
        <f t="shared" si="0"/>
        <v>1.3461538461555733E-2</v>
      </c>
      <c r="T5" s="10" t="str">
        <f t="shared" si="1"/>
        <v>Positif</v>
      </c>
      <c r="U5" s="11" t="str">
        <f t="shared" si="2"/>
        <v>Tinggi</v>
      </c>
      <c r="V5" s="14" t="str">
        <f t="shared" ref="V5:V28" si="3">IF(AND(R5&lt;$R$30,S5&lt;0),
   "Kuadran I - Prioritas Utama",
IF(AND(R5&gt;=$R$30,S5&gt;=0),
   "Kuadran II - Pertahankan",
IF(AND(R5&lt;$R$30,S5&gt;=0),
   "Kuadran III - Prioritas Rendah",
   "Kuadran IV - Berlebihan")))</f>
        <v>Kuadran II - Pertahankan</v>
      </c>
    </row>
    <row r="6" spans="1:22" x14ac:dyDescent="0.25">
      <c r="A6" s="2" t="s">
        <v>22</v>
      </c>
      <c r="B6" s="9">
        <v>3.56</v>
      </c>
      <c r="C6" s="9">
        <v>3.78</v>
      </c>
      <c r="D6" s="9">
        <v>3.92</v>
      </c>
      <c r="E6" s="9">
        <v>3.67</v>
      </c>
      <c r="F6" s="9">
        <v>3.46</v>
      </c>
      <c r="G6" s="9">
        <v>3.46</v>
      </c>
      <c r="H6" s="9">
        <v>3.53</v>
      </c>
      <c r="I6" s="9">
        <v>3.52</v>
      </c>
      <c r="J6" s="9">
        <v>3.46</v>
      </c>
      <c r="K6" s="9">
        <v>3.43</v>
      </c>
      <c r="L6" s="9">
        <v>3.43</v>
      </c>
      <c r="M6" s="9">
        <v>3.07</v>
      </c>
      <c r="N6" s="9">
        <v>3.06</v>
      </c>
      <c r="O6" s="9">
        <v>3.8</v>
      </c>
      <c r="P6" s="9">
        <v>3.03</v>
      </c>
      <c r="Q6" s="9">
        <v>3.52</v>
      </c>
      <c r="R6" s="9">
        <v>87.88</v>
      </c>
      <c r="S6" s="9">
        <f t="shared" si="0"/>
        <v>-2.6065384615384488</v>
      </c>
      <c r="T6" s="10" t="str">
        <f t="shared" si="1"/>
        <v>Negatif</v>
      </c>
      <c r="U6" s="11" t="str">
        <f t="shared" si="2"/>
        <v>Rendah</v>
      </c>
      <c r="V6" s="14" t="str">
        <f t="shared" si="3"/>
        <v>Kuadran I - Prioritas Utama</v>
      </c>
    </row>
    <row r="7" spans="1:22" x14ac:dyDescent="0.25">
      <c r="A7" s="2" t="s">
        <v>23</v>
      </c>
      <c r="B7" s="9">
        <v>3.73</v>
      </c>
      <c r="C7" s="9">
        <v>3.83</v>
      </c>
      <c r="D7" s="9">
        <v>3.84</v>
      </c>
      <c r="E7" s="9">
        <v>3.83</v>
      </c>
      <c r="F7" s="9">
        <v>3.83</v>
      </c>
      <c r="G7" s="9">
        <v>3.76</v>
      </c>
      <c r="H7" s="9">
        <v>3.08</v>
      </c>
      <c r="I7" s="9">
        <v>3.05</v>
      </c>
      <c r="J7" s="9">
        <v>3.81</v>
      </c>
      <c r="K7" s="9">
        <v>3.81</v>
      </c>
      <c r="L7" s="9">
        <v>3.78</v>
      </c>
      <c r="M7" s="9">
        <v>3.12</v>
      </c>
      <c r="N7" s="9">
        <v>3.15</v>
      </c>
      <c r="O7" s="9">
        <v>3.83</v>
      </c>
      <c r="P7" s="9">
        <v>3.08</v>
      </c>
      <c r="Q7" s="9">
        <v>3.58</v>
      </c>
      <c r="R7" s="9">
        <v>89.41</v>
      </c>
      <c r="S7" s="9">
        <f t="shared" si="0"/>
        <v>-1.0765384615384477</v>
      </c>
      <c r="T7" s="10" t="str">
        <f t="shared" si="1"/>
        <v>Negatif</v>
      </c>
      <c r="U7" s="11" t="str">
        <f t="shared" si="2"/>
        <v>Rendah</v>
      </c>
      <c r="V7" s="14" t="str">
        <f t="shared" si="3"/>
        <v>Kuadran I - Prioritas Utama</v>
      </c>
    </row>
    <row r="8" spans="1:22" x14ac:dyDescent="0.25">
      <c r="A8" s="2" t="s">
        <v>24</v>
      </c>
      <c r="B8" s="9">
        <v>3.98</v>
      </c>
      <c r="C8" s="9">
        <v>3.43</v>
      </c>
      <c r="D8" s="9">
        <v>4</v>
      </c>
      <c r="E8" s="9">
        <v>3.49</v>
      </c>
      <c r="F8" s="9">
        <v>3.99</v>
      </c>
      <c r="G8" s="9">
        <v>3.49</v>
      </c>
      <c r="H8" s="9">
        <v>3.39</v>
      </c>
      <c r="I8" s="9">
        <v>3.42</v>
      </c>
      <c r="J8" s="9">
        <v>3.49</v>
      </c>
      <c r="K8" s="9">
        <v>3.99</v>
      </c>
      <c r="L8" s="9">
        <v>4</v>
      </c>
      <c r="M8" s="9">
        <v>4</v>
      </c>
      <c r="N8" s="9">
        <v>4</v>
      </c>
      <c r="O8" s="9">
        <v>4</v>
      </c>
      <c r="P8" s="9">
        <v>3.98</v>
      </c>
      <c r="Q8" s="9">
        <v>3.74</v>
      </c>
      <c r="R8" s="9">
        <v>93.6</v>
      </c>
      <c r="S8" s="9">
        <f t="shared" si="0"/>
        <v>3.11346153846155</v>
      </c>
      <c r="T8" s="10" t="str">
        <f t="shared" si="1"/>
        <v>Positif</v>
      </c>
      <c r="U8" s="11" t="str">
        <f t="shared" si="2"/>
        <v>Tinggi</v>
      </c>
      <c r="V8" s="14" t="str">
        <f t="shared" si="3"/>
        <v>Kuadran II - Pertahankan</v>
      </c>
    </row>
    <row r="9" spans="1:22" x14ac:dyDescent="0.25">
      <c r="A9" s="2" t="s">
        <v>25</v>
      </c>
      <c r="B9" s="9">
        <v>3.68</v>
      </c>
      <c r="C9" s="9">
        <v>3.83</v>
      </c>
      <c r="D9" s="9">
        <v>3.99</v>
      </c>
      <c r="E9" s="9">
        <v>3.68</v>
      </c>
      <c r="F9" s="9">
        <v>3.68</v>
      </c>
      <c r="G9" s="9">
        <v>3.68</v>
      </c>
      <c r="H9" s="9">
        <v>3.33</v>
      </c>
      <c r="I9" s="9">
        <v>3.33</v>
      </c>
      <c r="J9" s="9">
        <v>3.68</v>
      </c>
      <c r="K9" s="9">
        <v>3.68</v>
      </c>
      <c r="L9" s="9">
        <v>3.68</v>
      </c>
      <c r="M9" s="9">
        <v>3.01</v>
      </c>
      <c r="N9" s="9">
        <v>3.01</v>
      </c>
      <c r="O9" s="9">
        <v>3.83</v>
      </c>
      <c r="P9" s="9">
        <v>3.01</v>
      </c>
      <c r="Q9" s="9">
        <v>3.57</v>
      </c>
      <c r="R9" s="9">
        <v>89.16</v>
      </c>
      <c r="S9" s="9">
        <f t="shared" si="0"/>
        <v>-1.3265384615384477</v>
      </c>
      <c r="T9" s="10" t="str">
        <f t="shared" si="1"/>
        <v>Negatif</v>
      </c>
      <c r="U9" s="11" t="str">
        <f t="shared" si="2"/>
        <v>Rendah</v>
      </c>
      <c r="V9" s="14" t="str">
        <f t="shared" si="3"/>
        <v>Kuadran I - Prioritas Utama</v>
      </c>
    </row>
    <row r="10" spans="1:22" x14ac:dyDescent="0.25">
      <c r="A10" s="2" t="s">
        <v>26</v>
      </c>
      <c r="B10" s="9">
        <v>3.58</v>
      </c>
      <c r="C10" s="9">
        <v>3.98</v>
      </c>
      <c r="D10" s="9">
        <v>3.97</v>
      </c>
      <c r="E10" s="9">
        <v>3.19</v>
      </c>
      <c r="F10" s="9">
        <v>3.29</v>
      </c>
      <c r="G10" s="9">
        <v>3.84</v>
      </c>
      <c r="H10" s="9">
        <v>3.01</v>
      </c>
      <c r="I10" s="9">
        <v>2.91</v>
      </c>
      <c r="J10" s="9">
        <v>3.28</v>
      </c>
      <c r="K10" s="9">
        <v>3.79</v>
      </c>
      <c r="L10" s="9">
        <v>3.2</v>
      </c>
      <c r="M10" s="9">
        <v>3.06</v>
      </c>
      <c r="N10" s="9">
        <v>3.37</v>
      </c>
      <c r="O10" s="9">
        <v>3.87</v>
      </c>
      <c r="P10" s="9">
        <v>3.51</v>
      </c>
      <c r="Q10" s="9">
        <v>3.47</v>
      </c>
      <c r="R10" s="9">
        <v>86.67</v>
      </c>
      <c r="S10" s="9">
        <f t="shared" si="0"/>
        <v>-3.8165384615384426</v>
      </c>
      <c r="T10" s="10" t="str">
        <f t="shared" si="1"/>
        <v>Negatif</v>
      </c>
      <c r="U10" s="11" t="str">
        <f t="shared" si="2"/>
        <v>Rendah</v>
      </c>
      <c r="V10" s="14" t="str">
        <f t="shared" si="3"/>
        <v>Kuadran I - Prioritas Utama</v>
      </c>
    </row>
    <row r="11" spans="1:22" x14ac:dyDescent="0.25">
      <c r="A11" s="2" t="s">
        <v>27</v>
      </c>
      <c r="B11" s="9">
        <v>3.83</v>
      </c>
      <c r="C11" s="9">
        <v>3.85</v>
      </c>
      <c r="D11" s="9">
        <v>3.9</v>
      </c>
      <c r="E11" s="9">
        <v>3.9</v>
      </c>
      <c r="F11" s="9">
        <v>3.93</v>
      </c>
      <c r="G11" s="9">
        <v>3.88</v>
      </c>
      <c r="H11" s="9">
        <v>3.13</v>
      </c>
      <c r="I11" s="9">
        <v>3.15</v>
      </c>
      <c r="J11" s="9">
        <v>3.88</v>
      </c>
      <c r="K11" s="9">
        <v>3.88</v>
      </c>
      <c r="L11" s="9">
        <v>3.86</v>
      </c>
      <c r="M11" s="9">
        <v>3.04</v>
      </c>
      <c r="N11" s="9">
        <v>3.06</v>
      </c>
      <c r="O11" s="9">
        <v>3.83</v>
      </c>
      <c r="P11" s="9">
        <v>3.04</v>
      </c>
      <c r="Q11" s="9">
        <v>3.63</v>
      </c>
      <c r="R11" s="9">
        <v>90.66</v>
      </c>
      <c r="S11" s="9">
        <f t="shared" si="0"/>
        <v>0.17346153846155232</v>
      </c>
      <c r="T11" s="10" t="str">
        <f t="shared" si="1"/>
        <v>Positif</v>
      </c>
      <c r="U11" s="11" t="str">
        <f t="shared" si="2"/>
        <v>Tinggi</v>
      </c>
      <c r="V11" s="14" t="str">
        <f t="shared" si="3"/>
        <v>Kuadran II - Pertahankan</v>
      </c>
    </row>
    <row r="12" spans="1:22" x14ac:dyDescent="0.25">
      <c r="A12" s="2" t="s">
        <v>28</v>
      </c>
      <c r="B12" s="9">
        <v>3.84</v>
      </c>
      <c r="C12" s="9">
        <v>3.89</v>
      </c>
      <c r="D12" s="9">
        <v>3.92</v>
      </c>
      <c r="E12" s="9">
        <v>3.93</v>
      </c>
      <c r="F12" s="9">
        <v>3.93</v>
      </c>
      <c r="G12" s="9">
        <v>3.91</v>
      </c>
      <c r="H12" s="9">
        <v>3.19</v>
      </c>
      <c r="I12" s="9">
        <v>3.19</v>
      </c>
      <c r="J12" s="9">
        <v>3.86</v>
      </c>
      <c r="K12" s="9">
        <v>3.89</v>
      </c>
      <c r="L12" s="9">
        <v>3.88</v>
      </c>
      <c r="M12" s="9">
        <v>3.12</v>
      </c>
      <c r="N12" s="9">
        <v>3.13</v>
      </c>
      <c r="O12" s="9">
        <v>3.87</v>
      </c>
      <c r="P12" s="9">
        <v>3.12</v>
      </c>
      <c r="Q12" s="9">
        <v>3.66</v>
      </c>
      <c r="R12" s="9">
        <v>91.49</v>
      </c>
      <c r="S12" s="9">
        <f t="shared" si="0"/>
        <v>1.0034615384615506</v>
      </c>
      <c r="T12" s="10" t="str">
        <f t="shared" si="1"/>
        <v>Positif</v>
      </c>
      <c r="U12" s="11" t="str">
        <f t="shared" si="2"/>
        <v>Tinggi</v>
      </c>
      <c r="V12" s="14" t="str">
        <f t="shared" si="3"/>
        <v>Kuadran II - Pertahankan</v>
      </c>
    </row>
    <row r="13" spans="1:22" x14ac:dyDescent="0.25">
      <c r="A13" s="2" t="s">
        <v>29</v>
      </c>
      <c r="B13" s="9">
        <v>3.93</v>
      </c>
      <c r="C13" s="9">
        <v>3.9</v>
      </c>
      <c r="D13" s="9">
        <v>3.92</v>
      </c>
      <c r="E13" s="9">
        <v>3.92</v>
      </c>
      <c r="F13" s="9">
        <v>3.96</v>
      </c>
      <c r="G13" s="9">
        <v>3.93</v>
      </c>
      <c r="H13" s="9">
        <v>3.1</v>
      </c>
      <c r="I13" s="9">
        <v>3.08</v>
      </c>
      <c r="J13" s="9">
        <v>3.95</v>
      </c>
      <c r="K13" s="9">
        <v>3.95</v>
      </c>
      <c r="L13" s="9">
        <v>3.94</v>
      </c>
      <c r="M13" s="9">
        <v>3.05</v>
      </c>
      <c r="N13" s="9">
        <v>3.02</v>
      </c>
      <c r="O13" s="9">
        <v>3.89</v>
      </c>
      <c r="P13" s="9">
        <v>3.03</v>
      </c>
      <c r="Q13" s="9">
        <v>3.65</v>
      </c>
      <c r="R13" s="9">
        <v>91.3</v>
      </c>
      <c r="S13" s="9">
        <f t="shared" si="0"/>
        <v>0.81346153846155289</v>
      </c>
      <c r="T13" s="10" t="str">
        <f t="shared" si="1"/>
        <v>Positif</v>
      </c>
      <c r="U13" s="11" t="str">
        <f t="shared" si="2"/>
        <v>Tinggi</v>
      </c>
      <c r="V13" s="14" t="str">
        <f t="shared" si="3"/>
        <v>Kuadran II - Pertahankan</v>
      </c>
    </row>
    <row r="14" spans="1:22" x14ac:dyDescent="0.25">
      <c r="A14" s="2" t="s">
        <v>30</v>
      </c>
      <c r="B14" s="9">
        <v>3.89</v>
      </c>
      <c r="C14" s="9">
        <v>3.89</v>
      </c>
      <c r="D14" s="9">
        <v>3.92</v>
      </c>
      <c r="E14" s="9">
        <v>3.99</v>
      </c>
      <c r="F14" s="9">
        <v>3.94</v>
      </c>
      <c r="G14" s="9">
        <v>3.91</v>
      </c>
      <c r="H14" s="9">
        <v>3.06</v>
      </c>
      <c r="I14" s="9">
        <v>3.09</v>
      </c>
      <c r="J14" s="9">
        <v>3.91</v>
      </c>
      <c r="K14" s="9">
        <v>3.89</v>
      </c>
      <c r="L14" s="9">
        <v>3.92</v>
      </c>
      <c r="M14" s="9">
        <v>3.03</v>
      </c>
      <c r="N14" s="9">
        <v>3.03</v>
      </c>
      <c r="O14" s="9">
        <v>3.9</v>
      </c>
      <c r="P14" s="9">
        <v>3</v>
      </c>
      <c r="Q14" s="9">
        <v>3.64</v>
      </c>
      <c r="R14" s="9">
        <v>91.03</v>
      </c>
      <c r="S14" s="9">
        <f t="shared" si="0"/>
        <v>0.54346153846155687</v>
      </c>
      <c r="T14" s="10" t="str">
        <f t="shared" si="1"/>
        <v>Positif</v>
      </c>
      <c r="U14" s="11" t="str">
        <f t="shared" si="2"/>
        <v>Tinggi</v>
      </c>
      <c r="V14" s="14" t="str">
        <f t="shared" si="3"/>
        <v>Kuadran II - Pertahankan</v>
      </c>
    </row>
    <row r="15" spans="1:22" x14ac:dyDescent="0.25">
      <c r="A15" s="2" t="s">
        <v>31</v>
      </c>
      <c r="B15" s="9">
        <v>3.8</v>
      </c>
      <c r="C15" s="9">
        <v>3.9</v>
      </c>
      <c r="D15" s="9">
        <v>3.91</v>
      </c>
      <c r="E15" s="9">
        <v>3.93</v>
      </c>
      <c r="F15" s="9">
        <v>3.92</v>
      </c>
      <c r="G15" s="9">
        <v>3.89</v>
      </c>
      <c r="H15" s="9">
        <v>3.11</v>
      </c>
      <c r="I15" s="9">
        <v>3.1</v>
      </c>
      <c r="J15" s="9">
        <v>3.83</v>
      </c>
      <c r="K15" s="9">
        <v>3.81</v>
      </c>
      <c r="L15" s="9">
        <v>3.82</v>
      </c>
      <c r="M15" s="9">
        <v>3.13</v>
      </c>
      <c r="N15" s="9">
        <v>3.1</v>
      </c>
      <c r="O15" s="9">
        <v>3.78</v>
      </c>
      <c r="P15" s="9">
        <v>3.04</v>
      </c>
      <c r="Q15" s="9">
        <v>3.62</v>
      </c>
      <c r="R15" s="9">
        <v>90.57</v>
      </c>
      <c r="S15" s="9">
        <f t="shared" si="0"/>
        <v>8.3461538461548912E-2</v>
      </c>
      <c r="T15" s="10" t="str">
        <f t="shared" si="1"/>
        <v>Positif</v>
      </c>
      <c r="U15" s="11" t="str">
        <f t="shared" si="2"/>
        <v>Tinggi</v>
      </c>
      <c r="V15" s="14" t="str">
        <f t="shared" si="3"/>
        <v>Kuadran II - Pertahankan</v>
      </c>
    </row>
    <row r="16" spans="1:22" x14ac:dyDescent="0.25">
      <c r="A16" s="2" t="s">
        <v>32</v>
      </c>
      <c r="B16" s="9">
        <v>3.99</v>
      </c>
      <c r="C16" s="9">
        <v>3</v>
      </c>
      <c r="D16" s="9">
        <v>3.99</v>
      </c>
      <c r="E16" s="9">
        <v>3.15</v>
      </c>
      <c r="F16" s="9">
        <v>4</v>
      </c>
      <c r="G16" s="9">
        <v>3.15</v>
      </c>
      <c r="H16" s="9">
        <v>3.15</v>
      </c>
      <c r="I16" s="9">
        <v>3.15</v>
      </c>
      <c r="J16" s="9">
        <v>3.15</v>
      </c>
      <c r="K16" s="9">
        <v>3.99</v>
      </c>
      <c r="L16" s="9">
        <v>4</v>
      </c>
      <c r="M16" s="9">
        <v>3.99</v>
      </c>
      <c r="N16" s="9">
        <v>3.99</v>
      </c>
      <c r="O16" s="9">
        <v>4</v>
      </c>
      <c r="P16" s="9">
        <v>3.99</v>
      </c>
      <c r="Q16" s="9">
        <v>3.59</v>
      </c>
      <c r="R16" s="9">
        <v>89.85</v>
      </c>
      <c r="S16" s="9">
        <f t="shared" si="0"/>
        <v>-0.63653846153844995</v>
      </c>
      <c r="T16" s="10" t="str">
        <f t="shared" si="1"/>
        <v>Negatif</v>
      </c>
      <c r="U16" s="11" t="str">
        <f t="shared" si="2"/>
        <v>Rendah</v>
      </c>
      <c r="V16" s="14" t="str">
        <f t="shared" si="3"/>
        <v>Kuadran I - Prioritas Utama</v>
      </c>
    </row>
    <row r="17" spans="1:22" x14ac:dyDescent="0.25">
      <c r="A17" s="2" t="s">
        <v>33</v>
      </c>
      <c r="B17" s="9">
        <v>3.7</v>
      </c>
      <c r="C17" s="9">
        <v>3.94</v>
      </c>
      <c r="D17" s="9">
        <v>3.96</v>
      </c>
      <c r="E17" s="9">
        <v>3.8</v>
      </c>
      <c r="F17" s="9">
        <v>3.79</v>
      </c>
      <c r="G17" s="9">
        <v>3.85</v>
      </c>
      <c r="H17" s="9">
        <v>3.03</v>
      </c>
      <c r="I17" s="9">
        <v>3</v>
      </c>
      <c r="J17" s="9">
        <v>3.69</v>
      </c>
      <c r="K17" s="9">
        <v>3.64</v>
      </c>
      <c r="L17" s="9">
        <v>3.58</v>
      </c>
      <c r="M17" s="9">
        <v>3.03</v>
      </c>
      <c r="N17" s="9">
        <v>3.06</v>
      </c>
      <c r="O17" s="9">
        <v>3.8</v>
      </c>
      <c r="P17" s="9">
        <v>3.04</v>
      </c>
      <c r="Q17" s="9">
        <v>3.55</v>
      </c>
      <c r="R17" s="9">
        <v>88.83</v>
      </c>
      <c r="S17" s="9">
        <f t="shared" si="0"/>
        <v>-1.656538461538446</v>
      </c>
      <c r="T17" s="10" t="str">
        <f t="shared" si="1"/>
        <v>Negatif</v>
      </c>
      <c r="U17" s="11" t="str">
        <f t="shared" si="2"/>
        <v>Rendah</v>
      </c>
      <c r="V17" s="14" t="str">
        <f t="shared" si="3"/>
        <v>Kuadran I - Prioritas Utama</v>
      </c>
    </row>
    <row r="18" spans="1:22" x14ac:dyDescent="0.25">
      <c r="A18" s="2" t="s">
        <v>34</v>
      </c>
      <c r="B18" s="9">
        <v>3.87</v>
      </c>
      <c r="C18" s="9">
        <v>3.91</v>
      </c>
      <c r="D18" s="9">
        <v>3.95</v>
      </c>
      <c r="E18" s="9">
        <v>3.88</v>
      </c>
      <c r="F18" s="9">
        <v>3.88</v>
      </c>
      <c r="G18" s="9">
        <v>3.88</v>
      </c>
      <c r="H18" s="9">
        <v>3.05</v>
      </c>
      <c r="I18" s="9">
        <v>3.04</v>
      </c>
      <c r="J18" s="9">
        <v>3.89</v>
      </c>
      <c r="K18" s="9">
        <v>3.88</v>
      </c>
      <c r="L18" s="9">
        <v>3.89</v>
      </c>
      <c r="M18" s="9">
        <v>3.04</v>
      </c>
      <c r="N18" s="9">
        <v>3.02</v>
      </c>
      <c r="O18" s="9">
        <v>3.89</v>
      </c>
      <c r="P18" s="9">
        <v>3.04</v>
      </c>
      <c r="Q18" s="9">
        <v>3.62</v>
      </c>
      <c r="R18" s="9">
        <v>90.5</v>
      </c>
      <c r="S18" s="9">
        <f t="shared" si="0"/>
        <v>1.3461538461555733E-2</v>
      </c>
      <c r="T18" s="10" t="str">
        <f t="shared" si="1"/>
        <v>Positif</v>
      </c>
      <c r="U18" s="11" t="str">
        <f t="shared" si="2"/>
        <v>Tinggi</v>
      </c>
      <c r="V18" s="14" t="str">
        <f t="shared" si="3"/>
        <v>Kuadran II - Pertahankan</v>
      </c>
    </row>
    <row r="19" spans="1:22" x14ac:dyDescent="0.25">
      <c r="A19" s="2" t="s">
        <v>35</v>
      </c>
      <c r="B19" s="9">
        <v>3.79</v>
      </c>
      <c r="C19" s="9">
        <v>3.92</v>
      </c>
      <c r="D19" s="9">
        <v>3.97</v>
      </c>
      <c r="E19" s="9">
        <v>3.67</v>
      </c>
      <c r="F19" s="9">
        <v>3.66</v>
      </c>
      <c r="G19" s="9">
        <v>3.95</v>
      </c>
      <c r="H19" s="9">
        <v>3</v>
      </c>
      <c r="I19" s="9">
        <v>2.95</v>
      </c>
      <c r="J19" s="9">
        <v>3.61</v>
      </c>
      <c r="K19" s="9">
        <v>3.78</v>
      </c>
      <c r="L19" s="9">
        <v>3.54</v>
      </c>
      <c r="M19" s="9">
        <v>3.07</v>
      </c>
      <c r="N19" s="9">
        <v>3.11</v>
      </c>
      <c r="O19" s="9">
        <v>3.94</v>
      </c>
      <c r="P19" s="9">
        <v>3</v>
      </c>
      <c r="Q19" s="9">
        <v>3.55</v>
      </c>
      <c r="R19" s="9">
        <v>88.73</v>
      </c>
      <c r="S19" s="9">
        <f t="shared" si="0"/>
        <v>-1.7565384615384403</v>
      </c>
      <c r="T19" s="10" t="str">
        <f t="shared" si="1"/>
        <v>Negatif</v>
      </c>
      <c r="U19" s="11" t="str">
        <f t="shared" si="2"/>
        <v>Rendah</v>
      </c>
      <c r="V19" s="14" t="str">
        <f t="shared" si="3"/>
        <v>Kuadran I - Prioritas Utama</v>
      </c>
    </row>
    <row r="20" spans="1:22" x14ac:dyDescent="0.25">
      <c r="A20" s="2" t="s">
        <v>36</v>
      </c>
      <c r="B20" s="9">
        <v>3.82</v>
      </c>
      <c r="C20" s="9">
        <v>3.85</v>
      </c>
      <c r="D20" s="9">
        <v>3.91</v>
      </c>
      <c r="E20" s="9">
        <v>3.95</v>
      </c>
      <c r="F20" s="9">
        <v>3.93</v>
      </c>
      <c r="G20" s="9">
        <v>3.89</v>
      </c>
      <c r="H20" s="9">
        <v>3.11</v>
      </c>
      <c r="I20" s="9">
        <v>3.07</v>
      </c>
      <c r="J20" s="9">
        <v>3.8</v>
      </c>
      <c r="K20" s="9">
        <v>3.82</v>
      </c>
      <c r="L20" s="9">
        <v>3.82</v>
      </c>
      <c r="M20" s="9">
        <v>3.04</v>
      </c>
      <c r="N20" s="9">
        <v>3.03</v>
      </c>
      <c r="O20" s="9">
        <v>3.83</v>
      </c>
      <c r="P20" s="9">
        <v>3.04</v>
      </c>
      <c r="Q20" s="9">
        <v>3.62</v>
      </c>
      <c r="R20" s="9">
        <v>90.38</v>
      </c>
      <c r="S20" s="9">
        <f t="shared" si="0"/>
        <v>-0.10653846153844881</v>
      </c>
      <c r="T20" s="10" t="str">
        <f t="shared" si="1"/>
        <v>Negatif</v>
      </c>
      <c r="U20" s="11" t="str">
        <f t="shared" si="2"/>
        <v>Rendah</v>
      </c>
      <c r="V20" s="14" t="str">
        <f t="shared" si="3"/>
        <v>Kuadran I - Prioritas Utama</v>
      </c>
    </row>
    <row r="21" spans="1:22" x14ac:dyDescent="0.25">
      <c r="A21" s="2" t="s">
        <v>37</v>
      </c>
      <c r="B21" s="9">
        <v>3.59</v>
      </c>
      <c r="C21" s="9">
        <v>3.8</v>
      </c>
      <c r="D21" s="9">
        <v>3.92</v>
      </c>
      <c r="E21" s="9">
        <v>3.51</v>
      </c>
      <c r="F21" s="9">
        <v>3.45</v>
      </c>
      <c r="G21" s="9">
        <v>3.84</v>
      </c>
      <c r="H21" s="9">
        <v>3.08</v>
      </c>
      <c r="I21" s="9">
        <v>3.01</v>
      </c>
      <c r="J21" s="9">
        <v>3.44</v>
      </c>
      <c r="K21" s="9">
        <v>3.78</v>
      </c>
      <c r="L21" s="9">
        <v>3.43</v>
      </c>
      <c r="M21" s="9">
        <v>3.09</v>
      </c>
      <c r="N21" s="9">
        <v>3.34</v>
      </c>
      <c r="O21" s="9">
        <v>3.9</v>
      </c>
      <c r="P21" s="9">
        <v>3.17</v>
      </c>
      <c r="Q21" s="9">
        <v>3.5</v>
      </c>
      <c r="R21" s="9">
        <v>87.51</v>
      </c>
      <c r="S21" s="9">
        <f t="shared" si="0"/>
        <v>-2.9765384615384392</v>
      </c>
      <c r="T21" s="10" t="str">
        <f t="shared" si="1"/>
        <v>Negatif</v>
      </c>
      <c r="U21" s="11" t="str">
        <f t="shared" si="2"/>
        <v>Rendah</v>
      </c>
      <c r="V21" s="14" t="str">
        <f t="shared" si="3"/>
        <v>Kuadran I - Prioritas Utama</v>
      </c>
    </row>
    <row r="22" spans="1:22" x14ac:dyDescent="0.25">
      <c r="A22" s="2" t="s">
        <v>38</v>
      </c>
      <c r="B22" s="9">
        <v>4</v>
      </c>
      <c r="C22" s="9">
        <v>3.78</v>
      </c>
      <c r="D22" s="9">
        <v>4</v>
      </c>
      <c r="E22" s="9">
        <v>4</v>
      </c>
      <c r="F22" s="9">
        <v>4</v>
      </c>
      <c r="G22" s="9">
        <v>4</v>
      </c>
      <c r="H22" s="9">
        <v>3.98</v>
      </c>
      <c r="I22" s="9">
        <v>3.98</v>
      </c>
      <c r="J22" s="9">
        <v>4</v>
      </c>
      <c r="K22" s="9">
        <v>3.98</v>
      </c>
      <c r="L22" s="9">
        <v>3.98</v>
      </c>
      <c r="M22" s="9">
        <v>4</v>
      </c>
      <c r="N22" s="9">
        <v>4</v>
      </c>
      <c r="O22" s="9">
        <v>3.99</v>
      </c>
      <c r="P22" s="9">
        <v>4</v>
      </c>
      <c r="Q22" s="9">
        <v>3.98</v>
      </c>
      <c r="R22" s="9">
        <v>99.39</v>
      </c>
      <c r="S22" s="9">
        <f t="shared" si="0"/>
        <v>8.9034615384615563</v>
      </c>
      <c r="T22" s="10" t="str">
        <f t="shared" si="1"/>
        <v>Positif</v>
      </c>
      <c r="U22" s="11" t="str">
        <f t="shared" si="2"/>
        <v>Tinggi</v>
      </c>
      <c r="V22" s="14" t="str">
        <f t="shared" si="3"/>
        <v>Kuadran II - Pertahankan</v>
      </c>
    </row>
    <row r="23" spans="1:22" x14ac:dyDescent="0.25">
      <c r="A23" s="2" t="s">
        <v>39</v>
      </c>
      <c r="B23" s="9">
        <v>3.75</v>
      </c>
      <c r="C23" s="9">
        <v>3.78</v>
      </c>
      <c r="D23" s="9">
        <v>3.84</v>
      </c>
      <c r="E23" s="9">
        <v>3.8</v>
      </c>
      <c r="F23" s="9">
        <v>3.8</v>
      </c>
      <c r="G23" s="9">
        <v>3.86</v>
      </c>
      <c r="H23" s="9">
        <v>3.11</v>
      </c>
      <c r="I23" s="9">
        <v>3.09</v>
      </c>
      <c r="J23" s="9">
        <v>3.77</v>
      </c>
      <c r="K23" s="9">
        <v>3.79</v>
      </c>
      <c r="L23" s="9">
        <v>3.83</v>
      </c>
      <c r="M23" s="9">
        <v>3.02</v>
      </c>
      <c r="N23" s="9">
        <v>3.01</v>
      </c>
      <c r="O23" s="9">
        <v>3.79</v>
      </c>
      <c r="P23" s="9">
        <v>2.98</v>
      </c>
      <c r="Q23" s="9">
        <v>3.56</v>
      </c>
      <c r="R23" s="9">
        <v>89.11</v>
      </c>
      <c r="S23" s="9">
        <f t="shared" si="0"/>
        <v>-1.3765384615384448</v>
      </c>
      <c r="T23" s="10" t="str">
        <f t="shared" si="1"/>
        <v>Negatif</v>
      </c>
      <c r="U23" s="11" t="str">
        <f t="shared" si="2"/>
        <v>Rendah</v>
      </c>
      <c r="V23" s="14" t="str">
        <f t="shared" si="3"/>
        <v>Kuadran I - Prioritas Utama</v>
      </c>
    </row>
    <row r="24" spans="1:22" x14ac:dyDescent="0.25">
      <c r="A24" s="2" t="s">
        <v>40</v>
      </c>
      <c r="B24" s="9">
        <v>3.61</v>
      </c>
      <c r="C24" s="9">
        <v>3.8</v>
      </c>
      <c r="D24" s="9">
        <v>3.89</v>
      </c>
      <c r="E24" s="9">
        <v>3.49</v>
      </c>
      <c r="F24" s="9">
        <v>3.46</v>
      </c>
      <c r="G24" s="9">
        <v>3.87</v>
      </c>
      <c r="H24" s="9">
        <v>3.1</v>
      </c>
      <c r="I24" s="9">
        <v>3.03</v>
      </c>
      <c r="J24" s="9">
        <v>3.46</v>
      </c>
      <c r="K24" s="9">
        <v>3.9</v>
      </c>
      <c r="L24" s="9">
        <v>3.46</v>
      </c>
      <c r="M24" s="9">
        <v>3.03</v>
      </c>
      <c r="N24" s="9">
        <v>3.31</v>
      </c>
      <c r="O24" s="9">
        <v>3.92</v>
      </c>
      <c r="P24" s="9">
        <v>3.1</v>
      </c>
      <c r="Q24" s="9">
        <v>3.51</v>
      </c>
      <c r="R24" s="9">
        <v>87.64</v>
      </c>
      <c r="S24" s="9">
        <f t="shared" si="0"/>
        <v>-2.8465384615384437</v>
      </c>
      <c r="T24" s="10" t="str">
        <f t="shared" si="1"/>
        <v>Negatif</v>
      </c>
      <c r="U24" s="11" t="str">
        <f t="shared" si="2"/>
        <v>Rendah</v>
      </c>
      <c r="V24" s="14" t="str">
        <f t="shared" si="3"/>
        <v>Kuadran I - Prioritas Utama</v>
      </c>
    </row>
    <row r="25" spans="1:22" x14ac:dyDescent="0.25">
      <c r="A25" s="2" t="s">
        <v>41</v>
      </c>
      <c r="B25" s="9">
        <v>3.89</v>
      </c>
      <c r="C25" s="9">
        <v>3.98</v>
      </c>
      <c r="D25" s="9">
        <v>4</v>
      </c>
      <c r="E25" s="9">
        <v>3.89</v>
      </c>
      <c r="F25" s="9">
        <v>3.9</v>
      </c>
      <c r="G25" s="9">
        <v>3.9</v>
      </c>
      <c r="H25" s="9">
        <v>3.06</v>
      </c>
      <c r="I25" s="9">
        <v>3.1</v>
      </c>
      <c r="J25" s="9">
        <v>3.89</v>
      </c>
      <c r="K25" s="9">
        <v>3.89</v>
      </c>
      <c r="L25" s="9">
        <v>3.82</v>
      </c>
      <c r="M25" s="9">
        <v>3</v>
      </c>
      <c r="N25" s="9">
        <v>3</v>
      </c>
      <c r="O25" s="9">
        <v>3.98</v>
      </c>
      <c r="P25" s="9">
        <v>3</v>
      </c>
      <c r="Q25" s="9">
        <v>3.64</v>
      </c>
      <c r="R25" s="9">
        <v>90.95</v>
      </c>
      <c r="S25" s="9">
        <f t="shared" si="0"/>
        <v>0.46346153846155858</v>
      </c>
      <c r="T25" s="10" t="str">
        <f t="shared" si="1"/>
        <v>Positif</v>
      </c>
      <c r="U25" s="11" t="str">
        <f t="shared" si="2"/>
        <v>Tinggi</v>
      </c>
      <c r="V25" s="14" t="str">
        <f t="shared" si="3"/>
        <v>Kuadran II - Pertahankan</v>
      </c>
    </row>
    <row r="26" spans="1:22" x14ac:dyDescent="0.25">
      <c r="A26" s="2" t="s">
        <v>42</v>
      </c>
      <c r="B26" s="9">
        <v>3.77</v>
      </c>
      <c r="C26" s="9">
        <v>3.9</v>
      </c>
      <c r="D26" s="9">
        <v>3.96</v>
      </c>
      <c r="E26" s="9">
        <v>3.25</v>
      </c>
      <c r="F26" s="9">
        <v>3.27</v>
      </c>
      <c r="G26" s="9">
        <v>3.64</v>
      </c>
      <c r="H26" s="9">
        <v>3.06</v>
      </c>
      <c r="I26" s="9">
        <v>3.08</v>
      </c>
      <c r="J26" s="9">
        <v>3.24</v>
      </c>
      <c r="K26" s="9">
        <v>3.51</v>
      </c>
      <c r="L26" s="9">
        <v>3.23</v>
      </c>
      <c r="M26" s="9">
        <v>3.14</v>
      </c>
      <c r="N26" s="9">
        <v>3.45</v>
      </c>
      <c r="O26" s="9">
        <v>3.83</v>
      </c>
      <c r="P26" s="9">
        <v>3.28</v>
      </c>
      <c r="Q26" s="9">
        <v>3.46</v>
      </c>
      <c r="R26" s="9">
        <v>86.51</v>
      </c>
      <c r="S26" s="9">
        <f t="shared" si="0"/>
        <v>-3.9765384615384392</v>
      </c>
      <c r="T26" s="10" t="str">
        <f t="shared" si="1"/>
        <v>Negatif</v>
      </c>
      <c r="U26" s="11" t="str">
        <f t="shared" si="2"/>
        <v>Rendah</v>
      </c>
      <c r="V26" s="14" t="str">
        <f t="shared" si="3"/>
        <v>Kuadran I - Prioritas Utama</v>
      </c>
    </row>
    <row r="27" spans="1:22" x14ac:dyDescent="0.25">
      <c r="A27" s="2" t="s">
        <v>43</v>
      </c>
      <c r="B27" s="9">
        <v>3.97</v>
      </c>
      <c r="C27" s="9">
        <v>3.6</v>
      </c>
      <c r="D27" s="9">
        <v>3.97</v>
      </c>
      <c r="E27" s="9">
        <v>3.95</v>
      </c>
      <c r="F27" s="9">
        <v>3.89</v>
      </c>
      <c r="G27" s="9">
        <v>3.88</v>
      </c>
      <c r="H27" s="9">
        <v>3.82</v>
      </c>
      <c r="I27" s="9">
        <v>3.78</v>
      </c>
      <c r="J27" s="9">
        <v>3.93</v>
      </c>
      <c r="K27" s="9">
        <v>3.81</v>
      </c>
      <c r="L27" s="9">
        <v>3.91</v>
      </c>
      <c r="M27" s="9">
        <v>3.98</v>
      </c>
      <c r="N27" s="9">
        <v>3.98</v>
      </c>
      <c r="O27" s="9">
        <v>3.99</v>
      </c>
      <c r="P27" s="9">
        <v>3.98</v>
      </c>
      <c r="Q27" s="9">
        <v>3.89</v>
      </c>
      <c r="R27" s="9">
        <v>97.14</v>
      </c>
      <c r="S27" s="9">
        <f t="shared" si="0"/>
        <v>6.6534615384615563</v>
      </c>
      <c r="T27" s="10" t="str">
        <f t="shared" si="1"/>
        <v>Positif</v>
      </c>
      <c r="U27" s="11" t="str">
        <f t="shared" si="2"/>
        <v>Tinggi</v>
      </c>
      <c r="V27" s="14" t="str">
        <f t="shared" si="3"/>
        <v>Kuadran II - Pertahankan</v>
      </c>
    </row>
    <row r="28" spans="1:22" x14ac:dyDescent="0.25">
      <c r="A28" s="2" t="s">
        <v>44</v>
      </c>
      <c r="B28" s="9">
        <v>3.76</v>
      </c>
      <c r="C28" s="9">
        <v>3.88</v>
      </c>
      <c r="D28" s="9">
        <v>3.79</v>
      </c>
      <c r="E28" s="9">
        <v>3.78</v>
      </c>
      <c r="F28" s="9">
        <v>3.82</v>
      </c>
      <c r="G28" s="9">
        <v>3.78</v>
      </c>
      <c r="H28" s="9">
        <v>3.01</v>
      </c>
      <c r="I28" s="9">
        <v>3.06</v>
      </c>
      <c r="J28" s="9">
        <v>3.78</v>
      </c>
      <c r="K28" s="9">
        <v>3.74</v>
      </c>
      <c r="L28" s="9">
        <v>3.77</v>
      </c>
      <c r="M28" s="9">
        <v>3.03</v>
      </c>
      <c r="N28" s="9">
        <v>3.03</v>
      </c>
      <c r="O28" s="9">
        <v>3.77</v>
      </c>
      <c r="P28" s="9">
        <v>3.04</v>
      </c>
      <c r="Q28" s="9">
        <v>3.55</v>
      </c>
      <c r="R28" s="9">
        <v>88.71</v>
      </c>
      <c r="S28" s="9">
        <f t="shared" si="0"/>
        <v>-1.7765384615384505</v>
      </c>
      <c r="T28" s="10" t="str">
        <f t="shared" si="1"/>
        <v>Negatif</v>
      </c>
      <c r="U28" s="11" t="str">
        <f t="shared" si="2"/>
        <v>Rendah</v>
      </c>
      <c r="V28" s="14" t="str">
        <f t="shared" si="3"/>
        <v>Kuadran I - Prioritas Utama</v>
      </c>
    </row>
    <row r="30" spans="1:22" x14ac:dyDescent="0.25">
      <c r="A30" s="3" t="s">
        <v>45</v>
      </c>
      <c r="B30" s="4">
        <f>AVERAGE(B3:B28)</f>
        <v>3.8069230769230766</v>
      </c>
      <c r="C30" s="4">
        <f>AVERAGE(C3:C28)</f>
        <v>3.8149999999999995</v>
      </c>
      <c r="D30" s="4">
        <f>AVERAGE(D3:D28)</f>
        <v>3.9365384615384618</v>
      </c>
      <c r="E30" s="4">
        <f>AVERAGE(E3:E28)</f>
        <v>3.743846153846154</v>
      </c>
      <c r="F30" s="4">
        <f>AVERAGE(F3:F28)</f>
        <v>3.7853846153846153</v>
      </c>
      <c r="G30" s="4">
        <f t="shared" ref="G30:P30" si="4">AVERAGE(G3:G28)</f>
        <v>3.8026923076923085</v>
      </c>
      <c r="H30" s="4">
        <f t="shared" si="4"/>
        <v>3.1811538461538458</v>
      </c>
      <c r="I30" s="4">
        <f t="shared" si="4"/>
        <v>3.2073076923076917</v>
      </c>
      <c r="J30" s="4">
        <f t="shared" si="4"/>
        <v>3.7107692307692304</v>
      </c>
      <c r="K30" s="4">
        <f t="shared" si="4"/>
        <v>3.8188461538461547</v>
      </c>
      <c r="L30" s="4">
        <f t="shared" si="4"/>
        <v>3.7461538461538457</v>
      </c>
      <c r="M30" s="4">
        <f t="shared" si="4"/>
        <v>3.1961538461538463</v>
      </c>
      <c r="N30" s="4">
        <f t="shared" si="4"/>
        <v>3.2792307692307707</v>
      </c>
      <c r="O30" s="4">
        <f t="shared" si="4"/>
        <v>3.8488461538461536</v>
      </c>
      <c r="P30" s="4">
        <f t="shared" si="4"/>
        <v>3.2507692307692304</v>
      </c>
      <c r="Q30" s="4">
        <f>AVERAGE(Q3:Q28)</f>
        <v>3.6203846153846153</v>
      </c>
      <c r="R30" s="5">
        <f>AVERAGE(R3:R28)</f>
        <v>90.486538461538444</v>
      </c>
      <c r="S30" s="9">
        <f>AVERAGE(S3:S28)</f>
        <v>1.6397140056002311E-14</v>
      </c>
    </row>
    <row r="31" spans="1:22" x14ac:dyDescent="0.25">
      <c r="V31" s="6"/>
    </row>
  </sheetData>
  <mergeCells count="1">
    <mergeCell ref="A1:U1"/>
  </mergeCells>
  <conditionalFormatting sqref="B3:B28">
    <cfRule type="cellIs" dxfId="16" priority="17" operator="lessThan">
      <formula>$B$30</formula>
    </cfRule>
  </conditionalFormatting>
  <conditionalFormatting sqref="C3:C28">
    <cfRule type="cellIs" dxfId="15" priority="16" operator="lessThan">
      <formula>$C$30</formula>
    </cfRule>
  </conditionalFormatting>
  <conditionalFormatting sqref="D3:D28">
    <cfRule type="cellIs" dxfId="14" priority="15" operator="lessThan">
      <formula>$D$30</formula>
    </cfRule>
  </conditionalFormatting>
  <conditionalFormatting sqref="E3:E28">
    <cfRule type="cellIs" dxfId="13" priority="14" operator="lessThan">
      <formula>$E$30</formula>
    </cfRule>
  </conditionalFormatting>
  <conditionalFormatting sqref="F3:F28">
    <cfRule type="cellIs" dxfId="12" priority="13" operator="lessThan">
      <formula>$F$30</formula>
    </cfRule>
  </conditionalFormatting>
  <conditionalFormatting sqref="G3:G28">
    <cfRule type="cellIs" dxfId="11" priority="12" operator="lessThan">
      <formula>$G$30</formula>
    </cfRule>
  </conditionalFormatting>
  <conditionalFormatting sqref="H3:H28">
    <cfRule type="cellIs" dxfId="10" priority="11" operator="lessThan">
      <formula>$H$30</formula>
    </cfRule>
  </conditionalFormatting>
  <conditionalFormatting sqref="I3:I28">
    <cfRule type="cellIs" dxfId="9" priority="10" operator="lessThan">
      <formula>$I$30</formula>
    </cfRule>
  </conditionalFormatting>
  <conditionalFormatting sqref="J3:J28">
    <cfRule type="cellIs" dxfId="8" priority="9" operator="lessThan">
      <formula>$J$30</formula>
    </cfRule>
  </conditionalFormatting>
  <conditionalFormatting sqref="K3:K28">
    <cfRule type="cellIs" dxfId="7" priority="8" operator="lessThan">
      <formula>$K$30</formula>
    </cfRule>
  </conditionalFormatting>
  <conditionalFormatting sqref="L3:L28">
    <cfRule type="cellIs" dxfId="6" priority="7" operator="lessThan">
      <formula>$L$30</formula>
    </cfRule>
  </conditionalFormatting>
  <conditionalFormatting sqref="M3:M28">
    <cfRule type="cellIs" dxfId="5" priority="6" operator="lessThan">
      <formula>$M$30</formula>
    </cfRule>
  </conditionalFormatting>
  <conditionalFormatting sqref="N3:N28">
    <cfRule type="cellIs" dxfId="4" priority="5" operator="lessThan">
      <formula>$N$30</formula>
    </cfRule>
  </conditionalFormatting>
  <conditionalFormatting sqref="O3:O28">
    <cfRule type="cellIs" dxfId="3" priority="4" operator="lessThan">
      <formula>$O$30</formula>
    </cfRule>
  </conditionalFormatting>
  <conditionalFormatting sqref="P3:P28">
    <cfRule type="cellIs" dxfId="2" priority="3" operator="lessThan">
      <formula>$P$30</formula>
    </cfRule>
  </conditionalFormatting>
  <conditionalFormatting sqref="Q3:Q28">
    <cfRule type="cellIs" dxfId="1" priority="2" operator="lessThan">
      <formula>$Q$30</formula>
    </cfRule>
  </conditionalFormatting>
  <conditionalFormatting sqref="R3:R28">
    <cfRule type="cellIs" dxfId="0" priority="1" operator="lessThan">
      <formula>$R$30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IRFAN TRI RAHARJO</cp:lastModifiedBy>
  <dcterms:modified xsi:type="dcterms:W3CDTF">2025-12-24T03:40:28Z</dcterms:modified>
</cp:coreProperties>
</file>
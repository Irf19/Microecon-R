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Asistensi Penelitian\PDAM\"/>
    </mc:Choice>
  </mc:AlternateContent>
  <bookViews>
    <workbookView xWindow="0" yWindow="0" windowWidth="20400" windowHeight="7755" tabRatio="500" activeTab="1"/>
  </bookViews>
  <sheets>
    <sheet name="Gap &amp; Prio Mat" sheetId="1" r:id="rId1"/>
    <sheet name="Sheet1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B38" i="2" l="1"/>
  <c r="B37" i="2"/>
  <c r="B34" i="2"/>
  <c r="B33" i="2"/>
  <c r="C29" i="2"/>
  <c r="C33" i="2"/>
  <c r="C30" i="2"/>
  <c r="B30" i="2"/>
  <c r="B29" i="2"/>
  <c r="C28" i="2"/>
  <c r="B28" i="2"/>
  <c r="C38" i="2"/>
  <c r="C37" i="2" l="1"/>
  <c r="S3" i="1" l="1"/>
  <c r="U3" i="1"/>
  <c r="S28" i="1"/>
  <c r="S5" i="1"/>
  <c r="S4" i="1"/>
  <c r="U28" i="1"/>
  <c r="T28" i="1"/>
  <c r="U27" i="1"/>
  <c r="S27" i="1"/>
  <c r="T27" i="1" s="1"/>
  <c r="U26" i="1"/>
  <c r="T26" i="1"/>
  <c r="S26" i="1"/>
  <c r="U25" i="1"/>
  <c r="S25" i="1"/>
  <c r="T25" i="1" s="1"/>
  <c r="U24" i="1"/>
  <c r="T24" i="1"/>
  <c r="S24" i="1"/>
  <c r="U23" i="1"/>
  <c r="S23" i="1"/>
  <c r="T23" i="1" s="1"/>
  <c r="U22" i="1"/>
  <c r="S22" i="1"/>
  <c r="U21" i="1"/>
  <c r="S21" i="1"/>
  <c r="T21" i="1" s="1"/>
  <c r="U20" i="1"/>
  <c r="S20" i="1"/>
  <c r="T20" i="1" s="1"/>
  <c r="U19" i="1"/>
  <c r="S19" i="1"/>
  <c r="T19" i="1" s="1"/>
  <c r="U18" i="1"/>
  <c r="T18" i="1"/>
  <c r="S18" i="1"/>
  <c r="U17" i="1"/>
  <c r="S17" i="1"/>
  <c r="T17" i="1" s="1"/>
  <c r="U16" i="1"/>
  <c r="T16" i="1"/>
  <c r="S16" i="1"/>
  <c r="U15" i="1"/>
  <c r="S15" i="1"/>
  <c r="T15" i="1" s="1"/>
  <c r="U14" i="1"/>
  <c r="S14" i="1"/>
  <c r="U13" i="1"/>
  <c r="S13" i="1"/>
  <c r="T13" i="1" s="1"/>
  <c r="U12" i="1"/>
  <c r="S12" i="1"/>
  <c r="U11" i="1"/>
  <c r="S11" i="1"/>
  <c r="T11" i="1" s="1"/>
  <c r="U10" i="1"/>
  <c r="T10" i="1"/>
  <c r="S10" i="1"/>
  <c r="U9" i="1"/>
  <c r="S9" i="1"/>
  <c r="T9" i="1" s="1"/>
  <c r="U8" i="1"/>
  <c r="T8" i="1"/>
  <c r="S8" i="1"/>
  <c r="U7" i="1"/>
  <c r="S7" i="1"/>
  <c r="T7" i="1" s="1"/>
  <c r="U6" i="1"/>
  <c r="S6" i="1"/>
  <c r="U5" i="1"/>
  <c r="T5" i="1"/>
  <c r="U4" i="1"/>
  <c r="T4" i="1"/>
  <c r="T3" i="1"/>
  <c r="R30" i="1"/>
  <c r="F30" i="1"/>
  <c r="E30" i="1"/>
  <c r="D30" i="1"/>
  <c r="C30" i="1"/>
  <c r="B30" i="1"/>
  <c r="C31" i="1"/>
  <c r="R31" i="1"/>
  <c r="Q30" i="1"/>
  <c r="Q31" i="1" s="1"/>
  <c r="P30" i="1"/>
  <c r="P31" i="1" s="1"/>
  <c r="O30" i="1"/>
  <c r="O31" i="1" s="1"/>
  <c r="N30" i="1"/>
  <c r="N31" i="1" s="1"/>
  <c r="M30" i="1"/>
  <c r="M31" i="1" s="1"/>
  <c r="L30" i="1"/>
  <c r="L31" i="1" s="1"/>
  <c r="K30" i="1"/>
  <c r="K31" i="1" s="1"/>
  <c r="J30" i="1"/>
  <c r="J31" i="1" s="1"/>
  <c r="I30" i="1"/>
  <c r="I31" i="1" s="1"/>
  <c r="H30" i="1"/>
  <c r="H31" i="1" s="1"/>
  <c r="G30" i="1"/>
  <c r="G31" i="1" s="1"/>
  <c r="F31" i="1"/>
  <c r="E31" i="1"/>
  <c r="D31" i="1"/>
  <c r="B31" i="1"/>
  <c r="T12" i="1" l="1"/>
  <c r="T6" i="1"/>
  <c r="T14" i="1"/>
  <c r="T22" i="1"/>
</calcChain>
</file>

<file path=xl/sharedStrings.xml><?xml version="1.0" encoding="utf-8"?>
<sst xmlns="http://schemas.openxmlformats.org/spreadsheetml/2006/main" count="88" uniqueCount="57">
  <si>
    <t>Laporan Survey</t>
  </si>
  <si>
    <t>Nama Unit</t>
  </si>
  <si>
    <t>rs1</t>
  </si>
  <si>
    <t>rs2</t>
  </si>
  <si>
    <t>qa1</t>
  </si>
  <si>
    <t>qa2</t>
  </si>
  <si>
    <t>emp1</t>
  </si>
  <si>
    <t>emp2</t>
  </si>
  <si>
    <t>pq1</t>
  </si>
  <si>
    <t>pq2</t>
  </si>
  <si>
    <t>fr1</t>
  </si>
  <si>
    <t>fr2</t>
  </si>
  <si>
    <t>fr3</t>
  </si>
  <si>
    <t>fr4</t>
  </si>
  <si>
    <t>esa1</t>
  </si>
  <si>
    <t>esa2</t>
  </si>
  <si>
    <t>esa3</t>
  </si>
  <si>
    <t>NRR</t>
  </si>
  <si>
    <t>Total</t>
  </si>
  <si>
    <t>AMPELGADING</t>
  </si>
  <si>
    <t>BANTUR</t>
  </si>
  <si>
    <t>BULULAWANG</t>
  </si>
  <si>
    <t>DAMPIT</t>
  </si>
  <si>
    <t>DAU</t>
  </si>
  <si>
    <t>DONOMULYO</t>
  </si>
  <si>
    <t>GONDANGLEGI</t>
  </si>
  <si>
    <t>JABUNG</t>
  </si>
  <si>
    <t>KARANGPLOSO</t>
  </si>
  <si>
    <t>KEPANJEN</t>
  </si>
  <si>
    <t>LAWANG</t>
  </si>
  <si>
    <t>NGAJUM</t>
  </si>
  <si>
    <t>NGANTANG</t>
  </si>
  <si>
    <t>PAGAK</t>
  </si>
  <si>
    <t>PAKIS</t>
  </si>
  <si>
    <t>PAKISAJI</t>
  </si>
  <si>
    <t>PONCOKUSUMO</t>
  </si>
  <si>
    <t>PUJON</t>
  </si>
  <si>
    <t>SAWOJAJAR</t>
  </si>
  <si>
    <t>SBR. MANJING W</t>
  </si>
  <si>
    <t>SINGOSARI</t>
  </si>
  <si>
    <t>TAJINAN</t>
  </si>
  <si>
    <t>TIRTOYUDO</t>
  </si>
  <si>
    <t>TUMPANG</t>
  </si>
  <si>
    <t>TUREN</t>
  </si>
  <si>
    <t>WAGIR</t>
  </si>
  <si>
    <t>Rerata</t>
  </si>
  <si>
    <t>Performance Gap (&lt; 5%)</t>
  </si>
  <si>
    <t>GAP</t>
  </si>
  <si>
    <t>Status GAP</t>
  </si>
  <si>
    <t>Status Kinerja</t>
  </si>
  <si>
    <t>Kuadran
Matriks</t>
  </si>
  <si>
    <t>Min</t>
  </si>
  <si>
    <t>Max</t>
  </si>
  <si>
    <t>Vert</t>
  </si>
  <si>
    <t>X</t>
  </si>
  <si>
    <t>Y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</si>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</sst>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Fill="1" applyBorder="1"/>
    <xf numFmtId="0" fontId="0" fillId="0" borderId="1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2" xfId="0" applyFont="1" applyFill="1" applyBorder="1" applyAlignment="1">
      <alignment horizontal="center"/>
    </xf>
    <xf numFmtId="2" fontId="0" fillId="0" borderId="3" xfId="0" applyNumberFormat="1" applyFont="1" applyFill="1" applyBorder="1"/>
    <xf numFmtId="2" fontId="0" fillId="0" borderId="4" xfId="0" applyNumberFormat="1" applyFont="1" applyFill="1" applyBorder="1"/>
    <xf numFmtId="0" fontId="2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/>
    </xf>
    <xf numFmtId="164" fontId="0" fillId="0" borderId="0" xfId="0" applyNumberFormat="1" applyFont="1" applyFill="1" applyBorder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2656723926083252"/>
                  <c:y val="0.11034477964929475"/>
                </c:manualLayout>
              </c:layout>
              <c:tx>
                <c:rich>
                  <a:bodyPr/>
                  <a:lstStyle/>
                  <a:p>
                    <a:fld id="{1C0882D8-E4CE-43C0-B898-86EA34B12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>
                <c:manualLayout>
                  <c:x val="-3.7213999095451804E-2"/>
                  <c:y val="-0.19126428472544424"/>
                </c:manualLayout>
              </c:layout>
              <c:tx>
                <c:rich>
                  <a:bodyPr/>
                  <a:lstStyle/>
                  <a:p>
                    <a:fld id="{1B6B07BA-6AD7-4F92-A407-E9330A4067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"/>
              <c:layout>
                <c:manualLayout>
                  <c:x val="-0.52825854145885365"/>
                  <c:y val="4.781607118136106E-2"/>
                </c:manualLayout>
              </c:layout>
              <c:tx>
                <c:rich>
                  <a:bodyPr/>
                  <a:lstStyle/>
                  <a:p>
                    <a:fld id="{2FD21FB3-338C-4017-AD03-3A8138442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1.7360609343718192E-2"/>
                  <c:y val="-1.1034477964929476E-2"/>
                </c:manualLayout>
              </c:layout>
              <c:tx>
                <c:rich>
                  <a:bodyPr/>
                  <a:lstStyle/>
                  <a:p>
                    <a:fld id="{BFD83F0C-DEB4-46AD-BE23-7CD7537D39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>
                <c:manualLayout>
                  <c:x val="-0.15376539704436115"/>
                  <c:y val="0.15448269150901264"/>
                </c:manualLayout>
              </c:layout>
              <c:tx>
                <c:rich>
                  <a:bodyPr/>
                  <a:lstStyle/>
                  <a:p>
                    <a:fld id="{4C055A71-65DD-4F0A-B35D-9A80F4BCD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5"/>
              <c:layout>
                <c:manualLayout>
                  <c:x val="-0.11630924771734351"/>
                  <c:y val="-0.15816085083065584"/>
                </c:manualLayout>
              </c:layout>
              <c:tx>
                <c:rich>
                  <a:bodyPr/>
                  <a:lstStyle/>
                  <a:p>
                    <a:fld id="{9BA2ACD2-B5F3-48C1-B42C-CABD3A19B3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30505070703961978"/>
                  <c:y val="0.15080453218736936"/>
                </c:manualLayout>
              </c:layout>
              <c:tx>
                <c:rich>
                  <a:bodyPr/>
                  <a:lstStyle/>
                  <a:p>
                    <a:fld id="{96CE386D-4564-4D69-BD5F-0984031F8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>
                <c:manualLayout>
                  <c:x val="3.9579460441575703E-2"/>
                  <c:y val="-4.7816071181361122E-2"/>
                </c:manualLayout>
              </c:layout>
              <c:tx>
                <c:rich>
                  <a:bodyPr/>
                  <a:lstStyle/>
                  <a:p>
                    <a:fld id="{D47C06EC-E790-4DB5-B236-6BE107898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8"/>
              <c:layout>
                <c:manualLayout>
                  <c:x val="0.16616583228987405"/>
                  <c:y val="0.1029884610060085"/>
                </c:manualLayout>
              </c:layout>
              <c:tx>
                <c:rich>
                  <a:bodyPr/>
                  <a:lstStyle/>
                  <a:p>
                    <a:fld id="{1053E803-CA69-4652-B244-F5C0106A2F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9"/>
              <c:layout>
                <c:manualLayout>
                  <c:x val="0.30505070703961967"/>
                  <c:y val="-0.12137925761422429"/>
                </c:manualLayout>
              </c:layout>
              <c:tx>
                <c:rich>
                  <a:bodyPr/>
                  <a:lstStyle/>
                  <a:p>
                    <a:fld id="{5AD224BF-C9B9-42BC-A998-64F010B2E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0"/>
              <c:layout>
                <c:manualLayout>
                  <c:x val="0.28494247369740749"/>
                  <c:y val="-5.1494230503004217E-2"/>
                </c:manualLayout>
              </c:layout>
              <c:tx>
                <c:rich>
                  <a:bodyPr/>
                  <a:lstStyle/>
                  <a:p>
                    <a:fld id="{B9D32676-C080-4CE3-9209-36FF5A971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1"/>
              <c:layout>
                <c:manualLayout>
                  <c:x val="0.11408400425871947"/>
                  <c:y val="-0.15816085083065581"/>
                </c:manualLayout>
              </c:layout>
              <c:tx>
                <c:rich>
                  <a:bodyPr/>
                  <a:lstStyle/>
                  <a:p>
                    <a:fld id="{152B200A-CB21-4CEF-8C27-3808D780B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2"/>
              <c:layout>
                <c:manualLayout>
                  <c:x val="-0.33481175162885085"/>
                  <c:y val="0.25747115251502106"/>
                </c:manualLayout>
              </c:layout>
              <c:tx>
                <c:rich>
                  <a:bodyPr/>
                  <a:lstStyle/>
                  <a:p>
                    <a:fld id="{AD72DF4F-199E-4D7D-85CC-55FC2CB31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3"/>
              <c:layout>
                <c:manualLayout>
                  <c:x val="1.9802421033637791E-2"/>
                  <c:y val="2.5747115251502042E-2"/>
                </c:manualLayout>
              </c:layout>
              <c:tx>
                <c:rich>
                  <a:bodyPr/>
                  <a:lstStyle/>
                  <a:p>
                    <a:fld id="{E15377FA-945A-4482-BC9D-3AD3062B2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4"/>
              <c:layout>
                <c:manualLayout>
                  <c:x val="-0.40921436310192888"/>
                  <c:y val="4.4137911859717903E-2"/>
                </c:manualLayout>
              </c:layout>
              <c:tx>
                <c:rich>
                  <a:bodyPr/>
                  <a:lstStyle/>
                  <a:p>
                    <a:fld id="{2FCF1E0B-A9AB-4479-B4EC-C76E1A69D5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5"/>
              <c:layout>
                <c:manualLayout>
                  <c:x val="-0.38441349261090296"/>
                  <c:y val="8.8275823719435806E-2"/>
                </c:manualLayout>
              </c:layout>
              <c:tx>
                <c:rich>
                  <a:bodyPr/>
                  <a:lstStyle/>
                  <a:p>
                    <a:fld id="{264A83E8-60B2-4C01-8BA9-52F1C1C29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6"/>
              <c:layout>
                <c:manualLayout>
                  <c:x val="-0.45881610408398082"/>
                  <c:y val="0.16551716947394213"/>
                </c:manualLayout>
              </c:layout>
              <c:tx>
                <c:rich>
                  <a:bodyPr/>
                  <a:lstStyle/>
                  <a:p>
                    <a:fld id="{0D3F9116-E80D-4E9B-B68D-3D7983D62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7"/>
              <c:layout>
                <c:manualLayout>
                  <c:x val="-0.29513035884320926"/>
                  <c:y val="2.942527457314513E-2"/>
                </c:manualLayout>
              </c:layout>
              <c:tx>
                <c:rich>
                  <a:bodyPr/>
                  <a:lstStyle/>
                  <a:p>
                    <a:fld id="{6DF476E3-43AE-4DD7-9403-53E7E50B5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8"/>
              <c:layout>
                <c:manualLayout>
                  <c:x val="-0.170686423154296"/>
                  <c:y val="-0.1508045321873695"/>
                </c:manualLayout>
              </c:layout>
              <c:tx>
                <c:rich>
                  <a:bodyPr/>
                  <a:lstStyle/>
                  <a:p>
                    <a:fld id="{D95066C7-88D8-435E-88B7-EB9B9818D8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9"/>
              <c:layout>
                <c:manualLayout>
                  <c:x val="-9.5061541309657809E-3"/>
                  <c:y val="-0.16551716947394213"/>
                </c:manualLayout>
              </c:layout>
              <c:tx>
                <c:rich>
                  <a:bodyPr/>
                  <a:lstStyle/>
                  <a:p>
                    <a:fld id="{50AD1B14-5D6F-4B33-8ABD-358E33B9B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0"/>
              <c:layout>
                <c:manualLayout>
                  <c:x val="-0.30517178215540275"/>
                  <c:y val="-4.0459752538074809E-2"/>
                </c:manualLayout>
              </c:layout>
              <c:tx>
                <c:rich>
                  <a:bodyPr/>
                  <a:lstStyle/>
                  <a:p>
                    <a:fld id="{CECC4F90-1D1B-48FA-B960-1BA86919A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1"/>
              <c:layout>
                <c:manualLayout>
                  <c:x val="-0.16573899059909911"/>
                  <c:y val="-7.3563186432863165E-2"/>
                </c:manualLayout>
              </c:layout>
              <c:tx>
                <c:rich>
                  <a:bodyPr/>
                  <a:lstStyle/>
                  <a:p>
                    <a:fld id="{1738A9A2-1DCA-463D-8573-E104F1282D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2"/>
              <c:layout>
                <c:manualLayout>
                  <c:x val="-2.906662021548246E-2"/>
                  <c:y val="-0.15448269150901273"/>
                </c:manualLayout>
              </c:layout>
              <c:tx>
                <c:rich>
                  <a:bodyPr/>
                  <a:lstStyle/>
                  <a:p>
                    <a:fld id="{C8F04DC1-1904-41C0-AD24-CA6A018F0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3"/>
              <c:layout>
                <c:manualLayout>
                  <c:x val="-5.9420151742270916E-2"/>
                  <c:y val="0.27218378980159369"/>
                </c:manualLayout>
              </c:layout>
              <c:tx>
                <c:rich>
                  <a:bodyPr/>
                  <a:lstStyle/>
                  <a:p>
                    <a:fld id="{46282834-0ED2-4DA4-9A50-BA6CCD42BF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4"/>
              <c:layout>
                <c:manualLayout>
                  <c:x val="-2.6758577000258552E-2"/>
                  <c:y val="-9.563214236272212E-2"/>
                </c:manualLayout>
              </c:layout>
              <c:tx>
                <c:rich>
                  <a:bodyPr/>
                  <a:lstStyle/>
                  <a:p>
                    <a:fld id="{B1849BA5-18FB-4F54-9BF2-C08752849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25"/>
              <c:layout>
                <c:manualLayout>
                  <c:x val="-0.18810444798730194"/>
                  <c:y val="-7.3563186432863839E-3"/>
                </c:manualLayout>
              </c:layout>
              <c:tx>
                <c:rich>
                  <a:bodyPr/>
                  <a:lstStyle/>
                  <a:p>
                    <a:fld id="{54D22E19-4493-4E50-A042-11A8D9347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Sheet1!$B$2:$B$27</c:f>
              <c:numCache>
                <c:formatCode>General</c:formatCode>
                <c:ptCount val="26"/>
                <c:pt idx="0">
                  <c:v>89.65</c:v>
                </c:pt>
                <c:pt idx="1">
                  <c:v>95.48</c:v>
                </c:pt>
                <c:pt idx="2">
                  <c:v>90.5</c:v>
                </c:pt>
                <c:pt idx="3">
                  <c:v>87.88</c:v>
                </c:pt>
                <c:pt idx="4">
                  <c:v>89.41</c:v>
                </c:pt>
                <c:pt idx="5">
                  <c:v>93.6</c:v>
                </c:pt>
                <c:pt idx="6">
                  <c:v>89.16</c:v>
                </c:pt>
                <c:pt idx="7">
                  <c:v>86.67</c:v>
                </c:pt>
                <c:pt idx="8">
                  <c:v>90.66</c:v>
                </c:pt>
                <c:pt idx="9">
                  <c:v>90.85</c:v>
                </c:pt>
                <c:pt idx="10">
                  <c:v>91.3</c:v>
                </c:pt>
                <c:pt idx="11">
                  <c:v>91.03</c:v>
                </c:pt>
                <c:pt idx="12">
                  <c:v>90.57</c:v>
                </c:pt>
                <c:pt idx="13">
                  <c:v>89.85</c:v>
                </c:pt>
                <c:pt idx="14">
                  <c:v>88.83</c:v>
                </c:pt>
                <c:pt idx="15">
                  <c:v>90.5</c:v>
                </c:pt>
                <c:pt idx="16">
                  <c:v>88.73</c:v>
                </c:pt>
                <c:pt idx="17">
                  <c:v>90.38</c:v>
                </c:pt>
                <c:pt idx="18">
                  <c:v>87.51</c:v>
                </c:pt>
                <c:pt idx="19">
                  <c:v>99.39</c:v>
                </c:pt>
                <c:pt idx="20">
                  <c:v>89.11</c:v>
                </c:pt>
                <c:pt idx="21">
                  <c:v>87.64</c:v>
                </c:pt>
                <c:pt idx="22">
                  <c:v>90.95</c:v>
                </c:pt>
                <c:pt idx="23">
                  <c:v>86.51</c:v>
                </c:pt>
                <c:pt idx="24">
                  <c:v>97.14</c:v>
                </c:pt>
                <c:pt idx="25">
                  <c:v>88.71</c:v>
                </c:pt>
              </c:numCache>
            </c:numRef>
          </c:xVal>
          <c:yVal>
            <c:numRef>
              <c:f>Sheet1!$C$2:$C$27</c:f>
              <c:numCache>
                <c:formatCode>0.00</c:formatCode>
                <c:ptCount val="26"/>
                <c:pt idx="0">
                  <c:v>-0.81192307692306542</c:v>
                </c:pt>
                <c:pt idx="1">
                  <c:v>5.0180769230769329</c:v>
                </c:pt>
                <c:pt idx="2">
                  <c:v>3.8076923076928892E-2</c:v>
                </c:pt>
                <c:pt idx="3">
                  <c:v>-2.5819230769230757</c:v>
                </c:pt>
                <c:pt idx="4">
                  <c:v>-1.0519230769230745</c:v>
                </c:pt>
                <c:pt idx="5">
                  <c:v>3.1380769230769232</c:v>
                </c:pt>
                <c:pt idx="6">
                  <c:v>-1.3019230769230745</c:v>
                </c:pt>
                <c:pt idx="7">
                  <c:v>-3.7919230769230694</c:v>
                </c:pt>
                <c:pt idx="8">
                  <c:v>0.19807692307692548</c:v>
                </c:pt>
                <c:pt idx="9">
                  <c:v>0.38807692307692321</c:v>
                </c:pt>
                <c:pt idx="10">
                  <c:v>0.83807692307692605</c:v>
                </c:pt>
                <c:pt idx="11">
                  <c:v>0.56807692307693003</c:v>
                </c:pt>
                <c:pt idx="12">
                  <c:v>0.10807692307692207</c:v>
                </c:pt>
                <c:pt idx="13">
                  <c:v>-0.61192307692307679</c:v>
                </c:pt>
                <c:pt idx="14">
                  <c:v>-1.6319230769230728</c:v>
                </c:pt>
                <c:pt idx="15">
                  <c:v>3.8076923076928892E-2</c:v>
                </c:pt>
                <c:pt idx="16">
                  <c:v>-1.7319230769230671</c:v>
                </c:pt>
                <c:pt idx="17">
                  <c:v>-8.1923076923075655E-2</c:v>
                </c:pt>
                <c:pt idx="18">
                  <c:v>-2.951923076923066</c:v>
                </c:pt>
                <c:pt idx="19">
                  <c:v>8.9280769230769295</c:v>
                </c:pt>
                <c:pt idx="20">
                  <c:v>-1.3519230769230717</c:v>
                </c:pt>
                <c:pt idx="21">
                  <c:v>-2.8219230769230705</c:v>
                </c:pt>
                <c:pt idx="22">
                  <c:v>0.48807692307693173</c:v>
                </c:pt>
                <c:pt idx="23">
                  <c:v>-3.951923076923066</c:v>
                </c:pt>
                <c:pt idx="24">
                  <c:v>6.6780769230769295</c:v>
                </c:pt>
                <c:pt idx="25">
                  <c:v>-1.7519230769230774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[1]Sheet1!$A$2:$A$27</c15:f>
                <c15:dlblRangeCache>
                  <c:ptCount val="26"/>
                  <c:pt idx="0">
                    <c:v>AMPELGADING</c:v>
                  </c:pt>
                  <c:pt idx="1">
                    <c:v>BANTUR</c:v>
                  </c:pt>
                  <c:pt idx="2">
                    <c:v>BULULAWANG</c:v>
                  </c:pt>
                  <c:pt idx="3">
                    <c:v>DAMPIT</c:v>
                  </c:pt>
                  <c:pt idx="4">
                    <c:v>DAU</c:v>
                  </c:pt>
                  <c:pt idx="5">
                    <c:v>DONOMULYO</c:v>
                  </c:pt>
                  <c:pt idx="6">
                    <c:v>GONDANGLEGI</c:v>
                  </c:pt>
                  <c:pt idx="7">
                    <c:v>JABUNG</c:v>
                  </c:pt>
                  <c:pt idx="8">
                    <c:v>KARANGPLOSO</c:v>
                  </c:pt>
                  <c:pt idx="9">
                    <c:v>KEPANJEN</c:v>
                  </c:pt>
                  <c:pt idx="10">
                    <c:v>LAWANG</c:v>
                  </c:pt>
                  <c:pt idx="11">
                    <c:v>NGAJUM</c:v>
                  </c:pt>
                  <c:pt idx="12">
                    <c:v>NGANTANG</c:v>
                  </c:pt>
                  <c:pt idx="13">
                    <c:v>PAGAK</c:v>
                  </c:pt>
                  <c:pt idx="14">
                    <c:v>PAKIS</c:v>
                  </c:pt>
                  <c:pt idx="15">
                    <c:v>PAKISAJI</c:v>
                  </c:pt>
                  <c:pt idx="16">
                    <c:v>PONCOKUSUMO</c:v>
                  </c:pt>
                  <c:pt idx="17">
                    <c:v>PUJON</c:v>
                  </c:pt>
                  <c:pt idx="18">
                    <c:v>SAWOJAJAR</c:v>
                  </c:pt>
                  <c:pt idx="19">
                    <c:v>SBR. MANJING W</c:v>
                  </c:pt>
                  <c:pt idx="20">
                    <c:v>SINGOSARI</c:v>
                  </c:pt>
                  <c:pt idx="21">
                    <c:v>TAJINAN</c:v>
                  </c:pt>
                  <c:pt idx="22">
                    <c:v>TIRTOYUDO</c:v>
                  </c:pt>
                  <c:pt idx="23">
                    <c:v>TUMPANG</c:v>
                  </c:pt>
                  <c:pt idx="24">
                    <c:v>TUREN</c:v>
                  </c:pt>
                  <c:pt idx="25">
                    <c:v>WAGIR</c:v>
                  </c:pt>
                </c15:dlblRangeCache>
              </c15:datalabelsRange>
            </c:ext>
          </c:extLst>
        </c:ser>
        <c:ser>
          <c:idx val="1"/>
          <c:order val="1"/>
          <c:tx>
            <c:v>Ver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Sheet1!$B$33:$B$34</c:f>
              <c:numCache>
                <c:formatCode>0</c:formatCode>
                <c:ptCount val="2"/>
                <c:pt idx="0">
                  <c:v>90.461923076923071</c:v>
                </c:pt>
                <c:pt idx="1">
                  <c:v>90.461923076923071</c:v>
                </c:pt>
              </c:numCache>
            </c:numRef>
          </c:xVal>
          <c:yVal>
            <c:numRef>
              <c:f>Sheet1!$C$33:$C$34</c:f>
              <c:numCache>
                <c:formatCode>General</c:formatCode>
                <c:ptCount val="2"/>
                <c:pt idx="0" formatCode="0.00">
                  <c:v>-3.951923076923066</c:v>
                </c:pt>
                <c:pt idx="1">
                  <c:v>18.43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Sheet1!$A$35</c:f>
              <c:strCache>
                <c:ptCount val="1"/>
                <c:pt idx="0">
                  <c:v>H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Sheet1!$B$37:$B$38</c:f>
              <c:numCache>
                <c:formatCode>0.00</c:formatCode>
                <c:ptCount val="2"/>
                <c:pt idx="0">
                  <c:v>86.51</c:v>
                </c:pt>
                <c:pt idx="1">
                  <c:v>99.39</c:v>
                </c:pt>
              </c:numCache>
            </c:numRef>
          </c:xVal>
          <c:yVal>
            <c:numRef>
              <c:f>Sheet1!$C$37:$C$38</c:f>
              <c:numCache>
                <c:formatCode>0.000</c:formatCode>
                <c:ptCount val="2"/>
                <c:pt idx="0">
                  <c:v>4.9191420168006935E-15</c:v>
                </c:pt>
                <c:pt idx="1">
                  <c:v>4.9191420168006935E-15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56932688"/>
        <c:axId val="-156929424"/>
      </c:scatterChart>
      <c:valAx>
        <c:axId val="-156932688"/>
        <c:scaling>
          <c:orientation val="minMax"/>
          <c:max val="10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929424"/>
        <c:crossesAt val="1"/>
        <c:crossBetween val="midCat"/>
        <c:majorUnit val="20"/>
      </c:valAx>
      <c:valAx>
        <c:axId val="-156929424"/>
        <c:scaling>
          <c:orientation val="maxMin"/>
          <c:max val="20"/>
          <c:min val="-2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6932688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243988</xdr:colOff>
      <xdr:row>20</xdr:row>
      <xdr:rowOff>23814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0.33538</cdr:x>
      <cdr:y>0.14928</cdr:y>
    </cdr:from>
    <cdr:to>
      <cdr:x>0.4241</cdr:x>
      <cdr:y>0.22355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717432" y="515451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/>
            <a:t>III</a:t>
          </a:r>
        </a:p>
      </cdr:txBody>
    </cdr:sp>
  </cdr:relSizeAnchor>
  <cdr:relSizeAnchor xmlns:cdr="http://schemas.openxmlformats.org/drawingml/2006/chartDrawing">
    <cdr:from>
      <cdr:x>0.34902</cdr:x>
      <cdr:y>0.74469</cdr:y>
    </cdr:from>
    <cdr:to>
      <cdr:x>0.43774</cdr:x>
      <cdr:y>0.81896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1787281" y="2571262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</a:t>
          </a:r>
        </a:p>
      </cdr:txBody>
    </cdr:sp>
  </cdr:relSizeAnchor>
  <cdr:relSizeAnchor xmlns:cdr="http://schemas.openxmlformats.org/drawingml/2006/chartDrawing">
    <cdr:from>
      <cdr:x>0.8541</cdr:x>
      <cdr:y>0.74469</cdr:y>
    </cdr:from>
    <cdr:to>
      <cdr:x>0.94281</cdr:x>
      <cdr:y>0.81896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373684" y="2571262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II</a:t>
          </a:r>
        </a:p>
      </cdr:txBody>
    </cdr:sp>
  </cdr:relSizeAnchor>
  <cdr:relSizeAnchor xmlns:cdr="http://schemas.openxmlformats.org/drawingml/2006/chartDrawing">
    <cdr:from>
      <cdr:x>0.8584</cdr:x>
      <cdr:y>0.1484</cdr:y>
    </cdr:from>
    <cdr:to>
      <cdr:x>0.94711</cdr:x>
      <cdr:y>0.22267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4395665" y="512396"/>
          <a:ext cx="454269" cy="2564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IV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p dan Priority Mat"/>
      <sheetName val="Sheet1"/>
    </sheetNames>
    <sheetDataSet>
      <sheetData sheetId="0"/>
      <sheetData sheetId="1">
        <row r="2">
          <cell r="A2" t="str">
            <v>AMPELGADING</v>
          </cell>
        </row>
        <row r="3">
          <cell r="A3" t="str">
            <v>BANTUR</v>
          </cell>
        </row>
        <row r="4">
          <cell r="A4" t="str">
            <v>BULULAWANG</v>
          </cell>
        </row>
        <row r="5">
          <cell r="A5" t="str">
            <v>DAMPIT</v>
          </cell>
        </row>
        <row r="6">
          <cell r="A6" t="str">
            <v>DAU</v>
          </cell>
        </row>
        <row r="7">
          <cell r="A7" t="str">
            <v>DONOMULYO</v>
          </cell>
        </row>
        <row r="8">
          <cell r="A8" t="str">
            <v>GONDANGLEGI</v>
          </cell>
        </row>
        <row r="9">
          <cell r="A9" t="str">
            <v>JABUNG</v>
          </cell>
        </row>
        <row r="10">
          <cell r="A10" t="str">
            <v>KARANGPLOSO</v>
          </cell>
        </row>
        <row r="11">
          <cell r="A11" t="str">
            <v>KEPANJEN</v>
          </cell>
        </row>
        <row r="12">
          <cell r="A12" t="str">
            <v>LAWANG</v>
          </cell>
        </row>
        <row r="13">
          <cell r="A13" t="str">
            <v>NGAJUM</v>
          </cell>
        </row>
        <row r="14">
          <cell r="A14" t="str">
            <v>NGANTANG</v>
          </cell>
        </row>
        <row r="15">
          <cell r="A15" t="str">
            <v>PAGAK</v>
          </cell>
        </row>
        <row r="16">
          <cell r="A16" t="str">
            <v>PAKIS</v>
          </cell>
        </row>
        <row r="17">
          <cell r="A17" t="str">
            <v>PAKISAJI</v>
          </cell>
        </row>
        <row r="18">
          <cell r="A18" t="str">
            <v>PONCOKUSUMO</v>
          </cell>
        </row>
        <row r="19">
          <cell r="A19" t="str">
            <v>PUJON</v>
          </cell>
        </row>
        <row r="20">
          <cell r="A20" t="str">
            <v>SAWOJAJAR</v>
          </cell>
        </row>
        <row r="21">
          <cell r="A21" t="str">
            <v>SBR. MANJING W</v>
          </cell>
        </row>
        <row r="22">
          <cell r="A22" t="str">
            <v>SINGOSARI</v>
          </cell>
        </row>
        <row r="23">
          <cell r="A23" t="str">
            <v>TAJINAN</v>
          </cell>
        </row>
        <row r="24">
          <cell r="A24" t="str">
            <v>TIRTOYUDO</v>
          </cell>
        </row>
        <row r="25">
          <cell r="A25" t="str">
            <v>TUMPANG</v>
          </cell>
        </row>
        <row r="26">
          <cell r="A26" t="str">
            <v>TUREN</v>
          </cell>
        </row>
        <row r="27">
          <cell r="A27" t="str">
            <v>WAGIR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showGridLines="0" zoomScale="70" zoomScaleNormal="70" workbookViewId="0">
      <selection activeCell="Y23" sqref="Y23"/>
    </sheetView>
  </sheetViews>
  <sheetFormatPr defaultRowHeight="15" x14ac:dyDescent="0.25"/>
  <cols>
    <col min="1" max="1" width="18.85546875" customWidth="1"/>
    <col min="2" max="17" width="6" customWidth="1"/>
    <col min="18" max="18" width="6.7109375" customWidth="1"/>
    <col min="20" max="20" width="9.85546875" customWidth="1"/>
    <col min="22" max="22" width="29.140625" bestFit="1" customWidth="1"/>
  </cols>
  <sheetData>
    <row r="1" spans="1:22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22" ht="30" x14ac:dyDescent="0.2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1" t="s">
        <v>47</v>
      </c>
      <c r="T2" s="12" t="s">
        <v>48</v>
      </c>
      <c r="U2" s="12" t="s">
        <v>49</v>
      </c>
      <c r="V2" s="12" t="s">
        <v>50</v>
      </c>
    </row>
    <row r="3" spans="1:22" x14ac:dyDescent="0.25">
      <c r="A3" s="1" t="s">
        <v>19</v>
      </c>
      <c r="B3" s="13">
        <v>3.81</v>
      </c>
      <c r="C3" s="13">
        <v>3.83</v>
      </c>
      <c r="D3" s="13">
        <v>3.92</v>
      </c>
      <c r="E3" s="13">
        <v>3.85</v>
      </c>
      <c r="F3" s="13">
        <v>3.81</v>
      </c>
      <c r="G3" s="13">
        <v>3.8</v>
      </c>
      <c r="H3" s="13">
        <v>3.06</v>
      </c>
      <c r="I3" s="13">
        <v>3.11</v>
      </c>
      <c r="J3" s="13">
        <v>3.84</v>
      </c>
      <c r="K3" s="13">
        <v>3.82</v>
      </c>
      <c r="L3" s="13">
        <v>3.79</v>
      </c>
      <c r="M3" s="13">
        <v>3</v>
      </c>
      <c r="N3" s="13">
        <v>2.99</v>
      </c>
      <c r="O3" s="13">
        <v>3.9</v>
      </c>
      <c r="P3" s="13">
        <v>3.01</v>
      </c>
      <c r="Q3" s="13">
        <v>3.59</v>
      </c>
      <c r="R3" s="13">
        <v>89.65</v>
      </c>
      <c r="S3" s="13">
        <f>R3-$R$30</f>
        <v>-0.81192307692306542</v>
      </c>
      <c r="T3" s="14" t="str">
        <f>IF(S3&gt;=0,"Positif","Negatif")</f>
        <v>Negatif</v>
      </c>
      <c r="U3" s="15" t="str">
        <f>IF(R3&gt;=$R$30,"Tinggi","Rendah")</f>
        <v>Rendah</v>
      </c>
      <c r="V3" s="17"/>
    </row>
    <row r="4" spans="1:22" x14ac:dyDescent="0.25">
      <c r="A4" s="1" t="s">
        <v>20</v>
      </c>
      <c r="B4" s="13">
        <v>4</v>
      </c>
      <c r="C4" s="13">
        <v>4</v>
      </c>
      <c r="D4" s="13">
        <v>4</v>
      </c>
      <c r="E4" s="13">
        <v>4</v>
      </c>
      <c r="F4" s="13">
        <v>4</v>
      </c>
      <c r="G4" s="13">
        <v>4</v>
      </c>
      <c r="H4" s="13">
        <v>3</v>
      </c>
      <c r="I4" s="13">
        <v>4</v>
      </c>
      <c r="J4" s="13">
        <v>4</v>
      </c>
      <c r="K4" s="13">
        <v>4</v>
      </c>
      <c r="L4" s="13">
        <v>4</v>
      </c>
      <c r="M4" s="13">
        <v>3</v>
      </c>
      <c r="N4" s="13">
        <v>4</v>
      </c>
      <c r="O4" s="13">
        <v>3</v>
      </c>
      <c r="P4" s="13">
        <v>4</v>
      </c>
      <c r="Q4" s="13">
        <v>3.82</v>
      </c>
      <c r="R4" s="13">
        <v>95.48</v>
      </c>
      <c r="S4" s="13">
        <f>R4-$R$30</f>
        <v>5.0180769230769329</v>
      </c>
      <c r="T4" s="14" t="str">
        <f t="shared" ref="T4:T28" si="0">IF(S4&gt;=0,"Positif","Negatif")</f>
        <v>Positif</v>
      </c>
      <c r="U4" s="15" t="str">
        <f t="shared" ref="U4:U28" si="1">IF(R4&gt;=$R$30,"Tinggi","Rendah")</f>
        <v>Tinggi</v>
      </c>
      <c r="V4" s="17"/>
    </row>
    <row r="5" spans="1:22" x14ac:dyDescent="0.25">
      <c r="A5" s="1" t="s">
        <v>21</v>
      </c>
      <c r="B5" s="13">
        <v>3.84</v>
      </c>
      <c r="C5" s="13">
        <v>3.94</v>
      </c>
      <c r="D5" s="13">
        <v>3.99</v>
      </c>
      <c r="E5" s="13">
        <v>3.84</v>
      </c>
      <c r="F5" s="13">
        <v>3.83</v>
      </c>
      <c r="G5" s="13">
        <v>3.83</v>
      </c>
      <c r="H5" s="13">
        <v>3.16</v>
      </c>
      <c r="I5" s="13">
        <v>3.1</v>
      </c>
      <c r="J5" s="13">
        <v>3.84</v>
      </c>
      <c r="K5" s="13">
        <v>3.84</v>
      </c>
      <c r="L5" s="13">
        <v>3.84</v>
      </c>
      <c r="M5" s="13">
        <v>3.01</v>
      </c>
      <c r="N5" s="13">
        <v>3.01</v>
      </c>
      <c r="O5" s="13">
        <v>3.94</v>
      </c>
      <c r="P5" s="13">
        <v>3.01</v>
      </c>
      <c r="Q5" s="13">
        <v>3.62</v>
      </c>
      <c r="R5" s="13">
        <v>90.5</v>
      </c>
      <c r="S5" s="13">
        <f>R5-$R$30</f>
        <v>3.8076923076928892E-2</v>
      </c>
      <c r="T5" s="14" t="str">
        <f t="shared" si="0"/>
        <v>Positif</v>
      </c>
      <c r="U5" s="15" t="str">
        <f t="shared" si="1"/>
        <v>Tinggi</v>
      </c>
      <c r="V5" s="17"/>
    </row>
    <row r="6" spans="1:22" x14ac:dyDescent="0.25">
      <c r="A6" s="1" t="s">
        <v>22</v>
      </c>
      <c r="B6" s="13">
        <v>3.56</v>
      </c>
      <c r="C6" s="13">
        <v>3.78</v>
      </c>
      <c r="D6" s="13">
        <v>3.92</v>
      </c>
      <c r="E6" s="13">
        <v>3.67</v>
      </c>
      <c r="F6" s="13">
        <v>3.46</v>
      </c>
      <c r="G6" s="13">
        <v>3.46</v>
      </c>
      <c r="H6" s="13">
        <v>3.53</v>
      </c>
      <c r="I6" s="13">
        <v>3.52</v>
      </c>
      <c r="J6" s="13">
        <v>3.46</v>
      </c>
      <c r="K6" s="13">
        <v>3.43</v>
      </c>
      <c r="L6" s="13">
        <v>3.43</v>
      </c>
      <c r="M6" s="13">
        <v>3.07</v>
      </c>
      <c r="N6" s="13">
        <v>3.06</v>
      </c>
      <c r="O6" s="13">
        <v>3.8</v>
      </c>
      <c r="P6" s="13">
        <v>3.03</v>
      </c>
      <c r="Q6" s="13">
        <v>3.52</v>
      </c>
      <c r="R6" s="13">
        <v>87.88</v>
      </c>
      <c r="S6" s="13">
        <f t="shared" ref="S6:S27" si="2">R6-$R$30</f>
        <v>-2.5819230769230757</v>
      </c>
      <c r="T6" s="14" t="str">
        <f t="shared" si="0"/>
        <v>Negatif</v>
      </c>
      <c r="U6" s="15" t="str">
        <f t="shared" si="1"/>
        <v>Rendah</v>
      </c>
      <c r="V6" s="17"/>
    </row>
    <row r="7" spans="1:22" x14ac:dyDescent="0.25">
      <c r="A7" s="1" t="s">
        <v>23</v>
      </c>
      <c r="B7" s="13">
        <v>3.73</v>
      </c>
      <c r="C7" s="13">
        <v>3.83</v>
      </c>
      <c r="D7" s="13">
        <v>3.84</v>
      </c>
      <c r="E7" s="13">
        <v>3.83</v>
      </c>
      <c r="F7" s="13">
        <v>3.83</v>
      </c>
      <c r="G7" s="13">
        <v>3.76</v>
      </c>
      <c r="H7" s="13">
        <v>3.08</v>
      </c>
      <c r="I7" s="13">
        <v>3.05</v>
      </c>
      <c r="J7" s="13">
        <v>3.81</v>
      </c>
      <c r="K7" s="13">
        <v>3.81</v>
      </c>
      <c r="L7" s="13">
        <v>3.78</v>
      </c>
      <c r="M7" s="13">
        <v>3.12</v>
      </c>
      <c r="N7" s="13">
        <v>3.15</v>
      </c>
      <c r="O7" s="13">
        <v>3.83</v>
      </c>
      <c r="P7" s="13">
        <v>3.08</v>
      </c>
      <c r="Q7" s="13">
        <v>3.58</v>
      </c>
      <c r="R7" s="13">
        <v>89.41</v>
      </c>
      <c r="S7" s="13">
        <f t="shared" si="2"/>
        <v>-1.0519230769230745</v>
      </c>
      <c r="T7" s="14" t="str">
        <f t="shared" si="0"/>
        <v>Negatif</v>
      </c>
      <c r="U7" s="15" t="str">
        <f t="shared" si="1"/>
        <v>Rendah</v>
      </c>
      <c r="V7" s="17"/>
    </row>
    <row r="8" spans="1:22" x14ac:dyDescent="0.25">
      <c r="A8" s="1" t="s">
        <v>24</v>
      </c>
      <c r="B8" s="13">
        <v>3.98</v>
      </c>
      <c r="C8" s="13">
        <v>3.43</v>
      </c>
      <c r="D8" s="13">
        <v>4</v>
      </c>
      <c r="E8" s="13">
        <v>3.49</v>
      </c>
      <c r="F8" s="13">
        <v>3.99</v>
      </c>
      <c r="G8" s="13">
        <v>3.49</v>
      </c>
      <c r="H8" s="13">
        <v>3.39</v>
      </c>
      <c r="I8" s="13">
        <v>3.42</v>
      </c>
      <c r="J8" s="13">
        <v>3.49</v>
      </c>
      <c r="K8" s="13">
        <v>3.99</v>
      </c>
      <c r="L8" s="13">
        <v>4</v>
      </c>
      <c r="M8" s="13">
        <v>4</v>
      </c>
      <c r="N8" s="13">
        <v>4</v>
      </c>
      <c r="O8" s="13">
        <v>4</v>
      </c>
      <c r="P8" s="13">
        <v>3.98</v>
      </c>
      <c r="Q8" s="13">
        <v>3.74</v>
      </c>
      <c r="R8" s="13">
        <v>93.6</v>
      </c>
      <c r="S8" s="13">
        <f t="shared" si="2"/>
        <v>3.1380769230769232</v>
      </c>
      <c r="T8" s="14" t="str">
        <f t="shared" si="0"/>
        <v>Positif</v>
      </c>
      <c r="U8" s="15" t="str">
        <f t="shared" si="1"/>
        <v>Tinggi</v>
      </c>
      <c r="V8" s="17"/>
    </row>
    <row r="9" spans="1:22" x14ac:dyDescent="0.25">
      <c r="A9" s="1" t="s">
        <v>25</v>
      </c>
      <c r="B9" s="13">
        <v>3.68</v>
      </c>
      <c r="C9" s="13">
        <v>3.83</v>
      </c>
      <c r="D9" s="13">
        <v>3.99</v>
      </c>
      <c r="E9" s="13">
        <v>3.68</v>
      </c>
      <c r="F9" s="13">
        <v>3.68</v>
      </c>
      <c r="G9" s="13">
        <v>3.68</v>
      </c>
      <c r="H9" s="13">
        <v>3.33</v>
      </c>
      <c r="I9" s="13">
        <v>3.33</v>
      </c>
      <c r="J9" s="13">
        <v>3.68</v>
      </c>
      <c r="K9" s="13">
        <v>3.68</v>
      </c>
      <c r="L9" s="13">
        <v>3.68</v>
      </c>
      <c r="M9" s="13">
        <v>3.01</v>
      </c>
      <c r="N9" s="13">
        <v>3.01</v>
      </c>
      <c r="O9" s="13">
        <v>3.83</v>
      </c>
      <c r="P9" s="13">
        <v>3.01</v>
      </c>
      <c r="Q9" s="13">
        <v>3.57</v>
      </c>
      <c r="R9" s="13">
        <v>89.16</v>
      </c>
      <c r="S9" s="13">
        <f t="shared" si="2"/>
        <v>-1.3019230769230745</v>
      </c>
      <c r="T9" s="14" t="str">
        <f t="shared" si="0"/>
        <v>Negatif</v>
      </c>
      <c r="U9" s="15" t="str">
        <f t="shared" si="1"/>
        <v>Rendah</v>
      </c>
      <c r="V9" s="17"/>
    </row>
    <row r="10" spans="1:22" x14ac:dyDescent="0.25">
      <c r="A10" s="1" t="s">
        <v>26</v>
      </c>
      <c r="B10" s="13">
        <v>3.58</v>
      </c>
      <c r="C10" s="13">
        <v>3.98</v>
      </c>
      <c r="D10" s="13">
        <v>3.97</v>
      </c>
      <c r="E10" s="13">
        <v>3.19</v>
      </c>
      <c r="F10" s="13">
        <v>3.29</v>
      </c>
      <c r="G10" s="13">
        <v>3.84</v>
      </c>
      <c r="H10" s="13">
        <v>3.01</v>
      </c>
      <c r="I10" s="13">
        <v>2.91</v>
      </c>
      <c r="J10" s="13">
        <v>3.28</v>
      </c>
      <c r="K10" s="13">
        <v>3.79</v>
      </c>
      <c r="L10" s="13">
        <v>3.2</v>
      </c>
      <c r="M10" s="13">
        <v>3.06</v>
      </c>
      <c r="N10" s="13">
        <v>3.37</v>
      </c>
      <c r="O10" s="13">
        <v>3.87</v>
      </c>
      <c r="P10" s="13">
        <v>3.51</v>
      </c>
      <c r="Q10" s="13">
        <v>3.47</v>
      </c>
      <c r="R10" s="13">
        <v>86.67</v>
      </c>
      <c r="S10" s="13">
        <f t="shared" si="2"/>
        <v>-3.7919230769230694</v>
      </c>
      <c r="T10" s="14" t="str">
        <f t="shared" si="0"/>
        <v>Negatif</v>
      </c>
      <c r="U10" s="15" t="str">
        <f t="shared" si="1"/>
        <v>Rendah</v>
      </c>
      <c r="V10" s="17"/>
    </row>
    <row r="11" spans="1:22" x14ac:dyDescent="0.25">
      <c r="A11" s="1" t="s">
        <v>27</v>
      </c>
      <c r="B11" s="13">
        <v>3.83</v>
      </c>
      <c r="C11" s="13">
        <v>3.85</v>
      </c>
      <c r="D11" s="13">
        <v>3.9</v>
      </c>
      <c r="E11" s="13">
        <v>3.9</v>
      </c>
      <c r="F11" s="13">
        <v>3.93</v>
      </c>
      <c r="G11" s="13">
        <v>3.88</v>
      </c>
      <c r="H11" s="13">
        <v>3.13</v>
      </c>
      <c r="I11" s="13">
        <v>3.15</v>
      </c>
      <c r="J11" s="13">
        <v>3.88</v>
      </c>
      <c r="K11" s="13">
        <v>3.88</v>
      </c>
      <c r="L11" s="13">
        <v>3.86</v>
      </c>
      <c r="M11" s="13">
        <v>3.04</v>
      </c>
      <c r="N11" s="13">
        <v>3.06</v>
      </c>
      <c r="O11" s="13">
        <v>3.83</v>
      </c>
      <c r="P11" s="13">
        <v>3.04</v>
      </c>
      <c r="Q11" s="13">
        <v>3.63</v>
      </c>
      <c r="R11" s="13">
        <v>90.66</v>
      </c>
      <c r="S11" s="13">
        <f t="shared" si="2"/>
        <v>0.19807692307692548</v>
      </c>
      <c r="T11" s="14" t="str">
        <f t="shared" si="0"/>
        <v>Positif</v>
      </c>
      <c r="U11" s="15" t="str">
        <f t="shared" si="1"/>
        <v>Tinggi</v>
      </c>
      <c r="V11" s="17"/>
    </row>
    <row r="12" spans="1:22" x14ac:dyDescent="0.25">
      <c r="A12" s="1" t="s">
        <v>28</v>
      </c>
      <c r="B12" s="13">
        <v>3.84</v>
      </c>
      <c r="C12" s="13">
        <v>3.89</v>
      </c>
      <c r="D12" s="13">
        <v>3.92</v>
      </c>
      <c r="E12" s="13">
        <v>3.93</v>
      </c>
      <c r="F12" s="13">
        <v>3.93</v>
      </c>
      <c r="G12" s="13">
        <v>3.91</v>
      </c>
      <c r="H12" s="13">
        <v>3.11</v>
      </c>
      <c r="I12" s="13">
        <v>3.11</v>
      </c>
      <c r="J12" s="13">
        <v>3.86</v>
      </c>
      <c r="K12" s="13">
        <v>3.89</v>
      </c>
      <c r="L12" s="13">
        <v>3.88</v>
      </c>
      <c r="M12" s="13">
        <v>3.04</v>
      </c>
      <c r="N12" s="13">
        <v>3.05</v>
      </c>
      <c r="O12" s="13">
        <v>3.87</v>
      </c>
      <c r="P12" s="13">
        <v>3.04</v>
      </c>
      <c r="Q12" s="13">
        <v>3.63</v>
      </c>
      <c r="R12" s="13">
        <v>90.85</v>
      </c>
      <c r="S12" s="13">
        <f t="shared" si="2"/>
        <v>0.38807692307692321</v>
      </c>
      <c r="T12" s="14" t="str">
        <f t="shared" si="0"/>
        <v>Positif</v>
      </c>
      <c r="U12" s="15" t="str">
        <f t="shared" si="1"/>
        <v>Tinggi</v>
      </c>
      <c r="V12" s="17"/>
    </row>
    <row r="13" spans="1:22" x14ac:dyDescent="0.25">
      <c r="A13" s="1" t="s">
        <v>29</v>
      </c>
      <c r="B13" s="13">
        <v>3.93</v>
      </c>
      <c r="C13" s="13">
        <v>3.9</v>
      </c>
      <c r="D13" s="13">
        <v>3.92</v>
      </c>
      <c r="E13" s="13">
        <v>3.92</v>
      </c>
      <c r="F13" s="13">
        <v>3.96</v>
      </c>
      <c r="G13" s="13">
        <v>3.93</v>
      </c>
      <c r="H13" s="13">
        <v>3.1</v>
      </c>
      <c r="I13" s="13">
        <v>3.08</v>
      </c>
      <c r="J13" s="13">
        <v>3.95</v>
      </c>
      <c r="K13" s="13">
        <v>3.95</v>
      </c>
      <c r="L13" s="13">
        <v>3.94</v>
      </c>
      <c r="M13" s="13">
        <v>3.05</v>
      </c>
      <c r="N13" s="13">
        <v>3.02</v>
      </c>
      <c r="O13" s="13">
        <v>3.89</v>
      </c>
      <c r="P13" s="13">
        <v>3.03</v>
      </c>
      <c r="Q13" s="13">
        <v>3.65</v>
      </c>
      <c r="R13" s="13">
        <v>91.3</v>
      </c>
      <c r="S13" s="13">
        <f t="shared" si="2"/>
        <v>0.83807692307692605</v>
      </c>
      <c r="T13" s="14" t="str">
        <f t="shared" si="0"/>
        <v>Positif</v>
      </c>
      <c r="U13" s="15" t="str">
        <f t="shared" si="1"/>
        <v>Tinggi</v>
      </c>
      <c r="V13" s="17"/>
    </row>
    <row r="14" spans="1:22" x14ac:dyDescent="0.25">
      <c r="A14" s="1" t="s">
        <v>30</v>
      </c>
      <c r="B14" s="13">
        <v>3.89</v>
      </c>
      <c r="C14" s="13">
        <v>3.89</v>
      </c>
      <c r="D14" s="13">
        <v>3.92</v>
      </c>
      <c r="E14" s="13">
        <v>3.99</v>
      </c>
      <c r="F14" s="13">
        <v>3.94</v>
      </c>
      <c r="G14" s="13">
        <v>3.91</v>
      </c>
      <c r="H14" s="13">
        <v>3.06</v>
      </c>
      <c r="I14" s="13">
        <v>3.09</v>
      </c>
      <c r="J14" s="13">
        <v>3.91</v>
      </c>
      <c r="K14" s="13">
        <v>3.89</v>
      </c>
      <c r="L14" s="13">
        <v>3.92</v>
      </c>
      <c r="M14" s="13">
        <v>3.03</v>
      </c>
      <c r="N14" s="13">
        <v>3.03</v>
      </c>
      <c r="O14" s="13">
        <v>3.9</v>
      </c>
      <c r="P14" s="13">
        <v>3</v>
      </c>
      <c r="Q14" s="13">
        <v>3.64</v>
      </c>
      <c r="R14" s="13">
        <v>91.03</v>
      </c>
      <c r="S14" s="13">
        <f t="shared" si="2"/>
        <v>0.56807692307693003</v>
      </c>
      <c r="T14" s="14" t="str">
        <f t="shared" si="0"/>
        <v>Positif</v>
      </c>
      <c r="U14" s="15" t="str">
        <f t="shared" si="1"/>
        <v>Tinggi</v>
      </c>
      <c r="V14" s="17"/>
    </row>
    <row r="15" spans="1:22" x14ac:dyDescent="0.25">
      <c r="A15" s="1" t="s">
        <v>31</v>
      </c>
      <c r="B15" s="13">
        <v>3.8</v>
      </c>
      <c r="C15" s="13">
        <v>3.9</v>
      </c>
      <c r="D15" s="13">
        <v>3.91</v>
      </c>
      <c r="E15" s="13">
        <v>3.93</v>
      </c>
      <c r="F15" s="13">
        <v>3.92</v>
      </c>
      <c r="G15" s="13">
        <v>3.89</v>
      </c>
      <c r="H15" s="13">
        <v>3.11</v>
      </c>
      <c r="I15" s="13">
        <v>3.1</v>
      </c>
      <c r="J15" s="13">
        <v>3.83</v>
      </c>
      <c r="K15" s="13">
        <v>3.81</v>
      </c>
      <c r="L15" s="13">
        <v>3.82</v>
      </c>
      <c r="M15" s="13">
        <v>3.13</v>
      </c>
      <c r="N15" s="13">
        <v>3.1</v>
      </c>
      <c r="O15" s="13">
        <v>3.78</v>
      </c>
      <c r="P15" s="13">
        <v>3.04</v>
      </c>
      <c r="Q15" s="13">
        <v>3.62</v>
      </c>
      <c r="R15" s="13">
        <v>90.57</v>
      </c>
      <c r="S15" s="13">
        <f t="shared" si="2"/>
        <v>0.10807692307692207</v>
      </c>
      <c r="T15" s="14" t="str">
        <f t="shared" si="0"/>
        <v>Positif</v>
      </c>
      <c r="U15" s="15" t="str">
        <f t="shared" si="1"/>
        <v>Tinggi</v>
      </c>
      <c r="V15" s="17"/>
    </row>
    <row r="16" spans="1:22" x14ac:dyDescent="0.25">
      <c r="A16" s="1" t="s">
        <v>32</v>
      </c>
      <c r="B16" s="13">
        <v>3.99</v>
      </c>
      <c r="C16" s="13">
        <v>3</v>
      </c>
      <c r="D16" s="13">
        <v>3.99</v>
      </c>
      <c r="E16" s="13">
        <v>3.15</v>
      </c>
      <c r="F16" s="13">
        <v>4</v>
      </c>
      <c r="G16" s="13">
        <v>3.15</v>
      </c>
      <c r="H16" s="13">
        <v>3.15</v>
      </c>
      <c r="I16" s="13">
        <v>3.15</v>
      </c>
      <c r="J16" s="13">
        <v>3.15</v>
      </c>
      <c r="K16" s="13">
        <v>3.99</v>
      </c>
      <c r="L16" s="13">
        <v>4</v>
      </c>
      <c r="M16" s="13">
        <v>3.99</v>
      </c>
      <c r="N16" s="13">
        <v>3.99</v>
      </c>
      <c r="O16" s="13">
        <v>4</v>
      </c>
      <c r="P16" s="13">
        <v>3.99</v>
      </c>
      <c r="Q16" s="13">
        <v>3.59</v>
      </c>
      <c r="R16" s="13">
        <v>89.85</v>
      </c>
      <c r="S16" s="13">
        <f t="shared" si="2"/>
        <v>-0.61192307692307679</v>
      </c>
      <c r="T16" s="14" t="str">
        <f t="shared" si="0"/>
        <v>Negatif</v>
      </c>
      <c r="U16" s="15" t="str">
        <f t="shared" si="1"/>
        <v>Rendah</v>
      </c>
      <c r="V16" s="17"/>
    </row>
    <row r="17" spans="1:22" x14ac:dyDescent="0.25">
      <c r="A17" s="1" t="s">
        <v>33</v>
      </c>
      <c r="B17" s="13">
        <v>3.7</v>
      </c>
      <c r="C17" s="13">
        <v>3.94</v>
      </c>
      <c r="D17" s="13">
        <v>3.96</v>
      </c>
      <c r="E17" s="13">
        <v>3.8</v>
      </c>
      <c r="F17" s="13">
        <v>3.79</v>
      </c>
      <c r="G17" s="13">
        <v>3.85</v>
      </c>
      <c r="H17" s="13">
        <v>3.03</v>
      </c>
      <c r="I17" s="13">
        <v>3</v>
      </c>
      <c r="J17" s="13">
        <v>3.69</v>
      </c>
      <c r="K17" s="13">
        <v>3.64</v>
      </c>
      <c r="L17" s="13">
        <v>3.58</v>
      </c>
      <c r="M17" s="13">
        <v>3.03</v>
      </c>
      <c r="N17" s="13">
        <v>3.06</v>
      </c>
      <c r="O17" s="13">
        <v>3.8</v>
      </c>
      <c r="P17" s="13">
        <v>3.04</v>
      </c>
      <c r="Q17" s="13">
        <v>3.55</v>
      </c>
      <c r="R17" s="13">
        <v>88.83</v>
      </c>
      <c r="S17" s="13">
        <f t="shared" si="2"/>
        <v>-1.6319230769230728</v>
      </c>
      <c r="T17" s="14" t="str">
        <f t="shared" si="0"/>
        <v>Negatif</v>
      </c>
      <c r="U17" s="15" t="str">
        <f t="shared" si="1"/>
        <v>Rendah</v>
      </c>
      <c r="V17" s="17"/>
    </row>
    <row r="18" spans="1:22" x14ac:dyDescent="0.25">
      <c r="A18" s="1" t="s">
        <v>34</v>
      </c>
      <c r="B18" s="13">
        <v>3.87</v>
      </c>
      <c r="C18" s="13">
        <v>3.91</v>
      </c>
      <c r="D18" s="13">
        <v>3.95</v>
      </c>
      <c r="E18" s="13">
        <v>3.88</v>
      </c>
      <c r="F18" s="13">
        <v>3.88</v>
      </c>
      <c r="G18" s="13">
        <v>3.88</v>
      </c>
      <c r="H18" s="13">
        <v>3.05</v>
      </c>
      <c r="I18" s="13">
        <v>3.04</v>
      </c>
      <c r="J18" s="13">
        <v>3.89</v>
      </c>
      <c r="K18" s="13">
        <v>3.88</v>
      </c>
      <c r="L18" s="13">
        <v>3.89</v>
      </c>
      <c r="M18" s="13">
        <v>3.04</v>
      </c>
      <c r="N18" s="13">
        <v>3.02</v>
      </c>
      <c r="O18" s="13">
        <v>3.89</v>
      </c>
      <c r="P18" s="13">
        <v>3.04</v>
      </c>
      <c r="Q18" s="13">
        <v>3.62</v>
      </c>
      <c r="R18" s="13">
        <v>90.5</v>
      </c>
      <c r="S18" s="13">
        <f t="shared" si="2"/>
        <v>3.8076923076928892E-2</v>
      </c>
      <c r="T18" s="14" t="str">
        <f t="shared" si="0"/>
        <v>Positif</v>
      </c>
      <c r="U18" s="15" t="str">
        <f t="shared" si="1"/>
        <v>Tinggi</v>
      </c>
      <c r="V18" s="17"/>
    </row>
    <row r="19" spans="1:22" x14ac:dyDescent="0.25">
      <c r="A19" s="1" t="s">
        <v>35</v>
      </c>
      <c r="B19" s="13">
        <v>3.79</v>
      </c>
      <c r="C19" s="13">
        <v>3.92</v>
      </c>
      <c r="D19" s="13">
        <v>3.97</v>
      </c>
      <c r="E19" s="13">
        <v>3.67</v>
      </c>
      <c r="F19" s="13">
        <v>3.66</v>
      </c>
      <c r="G19" s="13">
        <v>3.95</v>
      </c>
      <c r="H19" s="13">
        <v>3</v>
      </c>
      <c r="I19" s="13">
        <v>2.95</v>
      </c>
      <c r="J19" s="13">
        <v>3.61</v>
      </c>
      <c r="K19" s="13">
        <v>3.78</v>
      </c>
      <c r="L19" s="13">
        <v>3.54</v>
      </c>
      <c r="M19" s="13">
        <v>3.07</v>
      </c>
      <c r="N19" s="13">
        <v>3.11</v>
      </c>
      <c r="O19" s="13">
        <v>3.94</v>
      </c>
      <c r="P19" s="13">
        <v>3</v>
      </c>
      <c r="Q19" s="13">
        <v>3.55</v>
      </c>
      <c r="R19" s="13">
        <v>88.73</v>
      </c>
      <c r="S19" s="13">
        <f t="shared" si="2"/>
        <v>-1.7319230769230671</v>
      </c>
      <c r="T19" s="14" t="str">
        <f t="shared" si="0"/>
        <v>Negatif</v>
      </c>
      <c r="U19" s="15" t="str">
        <f t="shared" si="1"/>
        <v>Rendah</v>
      </c>
      <c r="V19" s="17"/>
    </row>
    <row r="20" spans="1:22" x14ac:dyDescent="0.25">
      <c r="A20" s="1" t="s">
        <v>36</v>
      </c>
      <c r="B20" s="13">
        <v>3.82</v>
      </c>
      <c r="C20" s="13">
        <v>3.85</v>
      </c>
      <c r="D20" s="13">
        <v>3.91</v>
      </c>
      <c r="E20" s="13">
        <v>3.95</v>
      </c>
      <c r="F20" s="13">
        <v>3.93</v>
      </c>
      <c r="G20" s="13">
        <v>3.89</v>
      </c>
      <c r="H20" s="13">
        <v>3.11</v>
      </c>
      <c r="I20" s="13">
        <v>3.07</v>
      </c>
      <c r="J20" s="13">
        <v>3.8</v>
      </c>
      <c r="K20" s="13">
        <v>3.82</v>
      </c>
      <c r="L20" s="13">
        <v>3.82</v>
      </c>
      <c r="M20" s="13">
        <v>3.04</v>
      </c>
      <c r="N20" s="13">
        <v>3.03</v>
      </c>
      <c r="O20" s="13">
        <v>3.83</v>
      </c>
      <c r="P20" s="13">
        <v>3.04</v>
      </c>
      <c r="Q20" s="13">
        <v>3.62</v>
      </c>
      <c r="R20" s="13">
        <v>90.38</v>
      </c>
      <c r="S20" s="13">
        <f t="shared" si="2"/>
        <v>-8.1923076923075655E-2</v>
      </c>
      <c r="T20" s="14" t="str">
        <f t="shared" si="0"/>
        <v>Negatif</v>
      </c>
      <c r="U20" s="15" t="str">
        <f t="shared" si="1"/>
        <v>Rendah</v>
      </c>
      <c r="V20" s="17"/>
    </row>
    <row r="21" spans="1:22" x14ac:dyDescent="0.25">
      <c r="A21" s="1" t="s">
        <v>37</v>
      </c>
      <c r="B21" s="13">
        <v>3.59</v>
      </c>
      <c r="C21" s="13">
        <v>3.8</v>
      </c>
      <c r="D21" s="13">
        <v>3.92</v>
      </c>
      <c r="E21" s="13">
        <v>3.51</v>
      </c>
      <c r="F21" s="13">
        <v>3.45</v>
      </c>
      <c r="G21" s="13">
        <v>3.84</v>
      </c>
      <c r="H21" s="13">
        <v>3.08</v>
      </c>
      <c r="I21" s="13">
        <v>3.01</v>
      </c>
      <c r="J21" s="13">
        <v>3.44</v>
      </c>
      <c r="K21" s="13">
        <v>3.78</v>
      </c>
      <c r="L21" s="13">
        <v>3.43</v>
      </c>
      <c r="M21" s="13">
        <v>3.09</v>
      </c>
      <c r="N21" s="13">
        <v>3.34</v>
      </c>
      <c r="O21" s="13">
        <v>3.9</v>
      </c>
      <c r="P21" s="13">
        <v>3.17</v>
      </c>
      <c r="Q21" s="13">
        <v>3.5</v>
      </c>
      <c r="R21" s="13">
        <v>87.51</v>
      </c>
      <c r="S21" s="13">
        <f t="shared" si="2"/>
        <v>-2.951923076923066</v>
      </c>
      <c r="T21" s="14" t="str">
        <f t="shared" si="0"/>
        <v>Negatif</v>
      </c>
      <c r="U21" s="15" t="str">
        <f t="shared" si="1"/>
        <v>Rendah</v>
      </c>
      <c r="V21" s="17"/>
    </row>
    <row r="22" spans="1:22" x14ac:dyDescent="0.25">
      <c r="A22" s="1" t="s">
        <v>38</v>
      </c>
      <c r="B22" s="13">
        <v>4</v>
      </c>
      <c r="C22" s="13">
        <v>3.78</v>
      </c>
      <c r="D22" s="13">
        <v>4</v>
      </c>
      <c r="E22" s="13">
        <v>4</v>
      </c>
      <c r="F22" s="13">
        <v>4</v>
      </c>
      <c r="G22" s="13">
        <v>4</v>
      </c>
      <c r="H22" s="13">
        <v>3.98</v>
      </c>
      <c r="I22" s="13">
        <v>3.98</v>
      </c>
      <c r="J22" s="13">
        <v>4</v>
      </c>
      <c r="K22" s="13">
        <v>3.98</v>
      </c>
      <c r="L22" s="13">
        <v>3.98</v>
      </c>
      <c r="M22" s="13">
        <v>4</v>
      </c>
      <c r="N22" s="13">
        <v>4</v>
      </c>
      <c r="O22" s="13">
        <v>3.99</v>
      </c>
      <c r="P22" s="13">
        <v>4</v>
      </c>
      <c r="Q22" s="13">
        <v>3.98</v>
      </c>
      <c r="R22" s="13">
        <v>99.39</v>
      </c>
      <c r="S22" s="13">
        <f t="shared" si="2"/>
        <v>8.9280769230769295</v>
      </c>
      <c r="T22" s="14" t="str">
        <f t="shared" si="0"/>
        <v>Positif</v>
      </c>
      <c r="U22" s="15" t="str">
        <f t="shared" si="1"/>
        <v>Tinggi</v>
      </c>
      <c r="V22" s="17"/>
    </row>
    <row r="23" spans="1:22" x14ac:dyDescent="0.25">
      <c r="A23" s="1" t="s">
        <v>39</v>
      </c>
      <c r="B23" s="13">
        <v>3.75</v>
      </c>
      <c r="C23" s="13">
        <v>3.78</v>
      </c>
      <c r="D23" s="13">
        <v>3.84</v>
      </c>
      <c r="E23" s="13">
        <v>3.8</v>
      </c>
      <c r="F23" s="13">
        <v>3.8</v>
      </c>
      <c r="G23" s="13">
        <v>3.86</v>
      </c>
      <c r="H23" s="13">
        <v>3.11</v>
      </c>
      <c r="I23" s="13">
        <v>3.09</v>
      </c>
      <c r="J23" s="13">
        <v>3.77</v>
      </c>
      <c r="K23" s="13">
        <v>3.79</v>
      </c>
      <c r="L23" s="13">
        <v>3.83</v>
      </c>
      <c r="M23" s="13">
        <v>3.02</v>
      </c>
      <c r="N23" s="13">
        <v>3.01</v>
      </c>
      <c r="O23" s="13">
        <v>3.79</v>
      </c>
      <c r="P23" s="13">
        <v>2.98</v>
      </c>
      <c r="Q23" s="13">
        <v>3.56</v>
      </c>
      <c r="R23" s="13">
        <v>89.11</v>
      </c>
      <c r="S23" s="13">
        <f t="shared" si="2"/>
        <v>-1.3519230769230717</v>
      </c>
      <c r="T23" s="14" t="str">
        <f t="shared" si="0"/>
        <v>Negatif</v>
      </c>
      <c r="U23" s="15" t="str">
        <f t="shared" si="1"/>
        <v>Rendah</v>
      </c>
      <c r="V23" s="17"/>
    </row>
    <row r="24" spans="1:22" x14ac:dyDescent="0.25">
      <c r="A24" s="1" t="s">
        <v>40</v>
      </c>
      <c r="B24" s="13">
        <v>3.61</v>
      </c>
      <c r="C24" s="13">
        <v>3.8</v>
      </c>
      <c r="D24" s="13">
        <v>3.89</v>
      </c>
      <c r="E24" s="13">
        <v>3.49</v>
      </c>
      <c r="F24" s="13">
        <v>3.46</v>
      </c>
      <c r="G24" s="13">
        <v>3.87</v>
      </c>
      <c r="H24" s="13">
        <v>3.1</v>
      </c>
      <c r="I24" s="13">
        <v>3.03</v>
      </c>
      <c r="J24" s="13">
        <v>3.46</v>
      </c>
      <c r="K24" s="13">
        <v>3.9</v>
      </c>
      <c r="L24" s="13">
        <v>3.46</v>
      </c>
      <c r="M24" s="13">
        <v>3.03</v>
      </c>
      <c r="N24" s="13">
        <v>3.31</v>
      </c>
      <c r="O24" s="13">
        <v>3.92</v>
      </c>
      <c r="P24" s="13">
        <v>3.1</v>
      </c>
      <c r="Q24" s="13">
        <v>3.51</v>
      </c>
      <c r="R24" s="13">
        <v>87.64</v>
      </c>
      <c r="S24" s="13">
        <f t="shared" si="2"/>
        <v>-2.8219230769230705</v>
      </c>
      <c r="T24" s="14" t="str">
        <f t="shared" si="0"/>
        <v>Negatif</v>
      </c>
      <c r="U24" s="15" t="str">
        <f t="shared" si="1"/>
        <v>Rendah</v>
      </c>
      <c r="V24" s="17"/>
    </row>
    <row r="25" spans="1:22" x14ac:dyDescent="0.25">
      <c r="A25" s="1" t="s">
        <v>41</v>
      </c>
      <c r="B25" s="13">
        <v>3.89</v>
      </c>
      <c r="C25" s="13">
        <v>3.98</v>
      </c>
      <c r="D25" s="13">
        <v>4</v>
      </c>
      <c r="E25" s="13">
        <v>3.89</v>
      </c>
      <c r="F25" s="13">
        <v>3.9</v>
      </c>
      <c r="G25" s="13">
        <v>3.9</v>
      </c>
      <c r="H25" s="13">
        <v>3.06</v>
      </c>
      <c r="I25" s="13">
        <v>3.1</v>
      </c>
      <c r="J25" s="13">
        <v>3.89</v>
      </c>
      <c r="K25" s="13">
        <v>3.89</v>
      </c>
      <c r="L25" s="13">
        <v>3.82</v>
      </c>
      <c r="M25" s="13">
        <v>3</v>
      </c>
      <c r="N25" s="13">
        <v>3</v>
      </c>
      <c r="O25" s="13">
        <v>3.98</v>
      </c>
      <c r="P25" s="13">
        <v>3</v>
      </c>
      <c r="Q25" s="13">
        <v>3.64</v>
      </c>
      <c r="R25" s="13">
        <v>90.95</v>
      </c>
      <c r="S25" s="13">
        <f t="shared" si="2"/>
        <v>0.48807692307693173</v>
      </c>
      <c r="T25" s="14" t="str">
        <f t="shared" si="0"/>
        <v>Positif</v>
      </c>
      <c r="U25" s="15" t="str">
        <f t="shared" si="1"/>
        <v>Tinggi</v>
      </c>
      <c r="V25" s="17"/>
    </row>
    <row r="26" spans="1:22" x14ac:dyDescent="0.25">
      <c r="A26" s="1" t="s">
        <v>42</v>
      </c>
      <c r="B26" s="13">
        <v>3.77</v>
      </c>
      <c r="C26" s="13">
        <v>3.9</v>
      </c>
      <c r="D26" s="13">
        <v>3.96</v>
      </c>
      <c r="E26" s="13">
        <v>3.25</v>
      </c>
      <c r="F26" s="13">
        <v>3.27</v>
      </c>
      <c r="G26" s="13">
        <v>3.64</v>
      </c>
      <c r="H26" s="13">
        <v>3.06</v>
      </c>
      <c r="I26" s="13">
        <v>3.08</v>
      </c>
      <c r="J26" s="13">
        <v>3.24</v>
      </c>
      <c r="K26" s="13">
        <v>3.51</v>
      </c>
      <c r="L26" s="13">
        <v>3.23</v>
      </c>
      <c r="M26" s="13">
        <v>3.14</v>
      </c>
      <c r="N26" s="13">
        <v>3.45</v>
      </c>
      <c r="O26" s="13">
        <v>3.83</v>
      </c>
      <c r="P26" s="13">
        <v>3.28</v>
      </c>
      <c r="Q26" s="13">
        <v>3.46</v>
      </c>
      <c r="R26" s="13">
        <v>86.51</v>
      </c>
      <c r="S26" s="13">
        <f t="shared" si="2"/>
        <v>-3.951923076923066</v>
      </c>
      <c r="T26" s="14" t="str">
        <f t="shared" si="0"/>
        <v>Negatif</v>
      </c>
      <c r="U26" s="15" t="str">
        <f t="shared" si="1"/>
        <v>Rendah</v>
      </c>
      <c r="V26" s="17"/>
    </row>
    <row r="27" spans="1:22" x14ac:dyDescent="0.25">
      <c r="A27" s="1" t="s">
        <v>43</v>
      </c>
      <c r="B27" s="13">
        <v>3.97</v>
      </c>
      <c r="C27" s="13">
        <v>3.6</v>
      </c>
      <c r="D27" s="13">
        <v>3.97</v>
      </c>
      <c r="E27" s="13">
        <v>3.95</v>
      </c>
      <c r="F27" s="13">
        <v>3.89</v>
      </c>
      <c r="G27" s="13">
        <v>3.88</v>
      </c>
      <c r="H27" s="13">
        <v>3.82</v>
      </c>
      <c r="I27" s="13">
        <v>3.78</v>
      </c>
      <c r="J27" s="13">
        <v>3.93</v>
      </c>
      <c r="K27" s="13">
        <v>3.81</v>
      </c>
      <c r="L27" s="13">
        <v>3.91</v>
      </c>
      <c r="M27" s="13">
        <v>3.98</v>
      </c>
      <c r="N27" s="13">
        <v>3.98</v>
      </c>
      <c r="O27" s="13">
        <v>3.99</v>
      </c>
      <c r="P27" s="13">
        <v>3.98</v>
      </c>
      <c r="Q27" s="13">
        <v>3.89</v>
      </c>
      <c r="R27" s="13">
        <v>97.14</v>
      </c>
      <c r="S27" s="13">
        <f t="shared" si="2"/>
        <v>6.6780769230769295</v>
      </c>
      <c r="T27" s="14" t="str">
        <f t="shared" si="0"/>
        <v>Positif</v>
      </c>
      <c r="U27" s="15" t="str">
        <f t="shared" si="1"/>
        <v>Tinggi</v>
      </c>
      <c r="V27" s="17"/>
    </row>
    <row r="28" spans="1:22" x14ac:dyDescent="0.25">
      <c r="A28" s="1" t="s">
        <v>44</v>
      </c>
      <c r="B28" s="13">
        <v>3.76</v>
      </c>
      <c r="C28" s="13">
        <v>3.88</v>
      </c>
      <c r="D28" s="13">
        <v>3.79</v>
      </c>
      <c r="E28" s="13">
        <v>3.78</v>
      </c>
      <c r="F28" s="13">
        <v>3.82</v>
      </c>
      <c r="G28" s="13">
        <v>3.78</v>
      </c>
      <c r="H28" s="13">
        <v>3.01</v>
      </c>
      <c r="I28" s="13">
        <v>3.06</v>
      </c>
      <c r="J28" s="13">
        <v>3.78</v>
      </c>
      <c r="K28" s="13">
        <v>3.74</v>
      </c>
      <c r="L28" s="13">
        <v>3.77</v>
      </c>
      <c r="M28" s="13">
        <v>3.03</v>
      </c>
      <c r="N28" s="13">
        <v>3.03</v>
      </c>
      <c r="O28" s="13">
        <v>3.77</v>
      </c>
      <c r="P28" s="13">
        <v>3.04</v>
      </c>
      <c r="Q28" s="13">
        <v>3.55</v>
      </c>
      <c r="R28" s="13">
        <v>88.71</v>
      </c>
      <c r="S28" s="13">
        <f>R28-$R$30</f>
        <v>-1.7519230769230774</v>
      </c>
      <c r="T28" s="14" t="str">
        <f t="shared" si="0"/>
        <v>Negatif</v>
      </c>
      <c r="U28" s="15" t="str">
        <f t="shared" si="1"/>
        <v>Rendah</v>
      </c>
      <c r="V28" s="17"/>
    </row>
    <row r="30" spans="1:22" x14ac:dyDescent="0.25">
      <c r="A30" s="4" t="s">
        <v>45</v>
      </c>
      <c r="B30" s="5">
        <f>AVERAGE(B3:B28)</f>
        <v>3.8069230769230766</v>
      </c>
      <c r="C30" s="5">
        <f>AVERAGE(C3:C28)</f>
        <v>3.8149999999999995</v>
      </c>
      <c r="D30" s="5">
        <f>AVERAGE(D3:D28)</f>
        <v>3.9365384615384618</v>
      </c>
      <c r="E30" s="5">
        <f>AVERAGE(E3:E28)</f>
        <v>3.743846153846154</v>
      </c>
      <c r="F30" s="5">
        <f>AVERAGE(F3:F28)</f>
        <v>3.7853846153846153</v>
      </c>
      <c r="G30" s="5">
        <f t="shared" ref="G30:P30" si="3">AVERAGE(G3:G28)</f>
        <v>3.8026923076923085</v>
      </c>
      <c r="H30" s="5">
        <f t="shared" si="3"/>
        <v>3.1780769230769224</v>
      </c>
      <c r="I30" s="5">
        <f t="shared" si="3"/>
        <v>3.2042307692307688</v>
      </c>
      <c r="J30" s="5">
        <f t="shared" si="3"/>
        <v>3.7107692307692304</v>
      </c>
      <c r="K30" s="5">
        <f t="shared" si="3"/>
        <v>3.8188461538461547</v>
      </c>
      <c r="L30" s="5">
        <f t="shared" si="3"/>
        <v>3.7461538461538457</v>
      </c>
      <c r="M30" s="5">
        <f t="shared" si="3"/>
        <v>3.1930769230769234</v>
      </c>
      <c r="N30" s="5">
        <f t="shared" si="3"/>
        <v>3.2761538461538469</v>
      </c>
      <c r="O30" s="5">
        <f t="shared" si="3"/>
        <v>3.8488461538461536</v>
      </c>
      <c r="P30" s="5">
        <f t="shared" si="3"/>
        <v>3.2476923076923083</v>
      </c>
      <c r="Q30" s="5">
        <f>AVERAGE(Q3:Q28)</f>
        <v>3.6192307692307688</v>
      </c>
      <c r="R30" s="6">
        <f>AVERAGE(R3:R28)</f>
        <v>90.461923076923071</v>
      </c>
    </row>
    <row r="31" spans="1:22" ht="30" x14ac:dyDescent="0.25">
      <c r="A31" s="7" t="s">
        <v>46</v>
      </c>
      <c r="B31" s="8">
        <f>B30*95%</f>
        <v>3.6165769230769227</v>
      </c>
      <c r="C31" s="8">
        <f t="shared" ref="C31:R31" si="4">C30*95%</f>
        <v>3.6242499999999995</v>
      </c>
      <c r="D31" s="8">
        <f t="shared" si="4"/>
        <v>3.7397115384615387</v>
      </c>
      <c r="E31" s="8">
        <f t="shared" si="4"/>
        <v>3.5566538461538464</v>
      </c>
      <c r="F31" s="8">
        <f t="shared" si="4"/>
        <v>3.5961153846153846</v>
      </c>
      <c r="G31" s="8">
        <f t="shared" si="4"/>
        <v>3.6125576923076927</v>
      </c>
      <c r="H31" s="8">
        <f t="shared" si="4"/>
        <v>3.0191730769230762</v>
      </c>
      <c r="I31" s="8">
        <f t="shared" si="4"/>
        <v>3.04401923076923</v>
      </c>
      <c r="J31" s="8">
        <f t="shared" si="4"/>
        <v>3.5252307692307685</v>
      </c>
      <c r="K31" s="8">
        <f t="shared" si="4"/>
        <v>3.6279038461538469</v>
      </c>
      <c r="L31" s="8">
        <f t="shared" si="4"/>
        <v>3.5588461538461531</v>
      </c>
      <c r="M31" s="8">
        <f t="shared" si="4"/>
        <v>3.0334230769230772</v>
      </c>
      <c r="N31" s="8">
        <f t="shared" si="4"/>
        <v>3.1123461538461545</v>
      </c>
      <c r="O31" s="8">
        <f t="shared" si="4"/>
        <v>3.6564038461538457</v>
      </c>
      <c r="P31" s="8">
        <f t="shared" si="4"/>
        <v>3.0853076923076928</v>
      </c>
      <c r="Q31" s="8">
        <f t="shared" si="4"/>
        <v>3.4382692307692304</v>
      </c>
      <c r="R31" s="9">
        <f t="shared" si="4"/>
        <v>85.938826923076917</v>
      </c>
      <c r="S31" s="10"/>
      <c r="T31" s="10"/>
      <c r="U31" s="10"/>
      <c r="V31" s="10"/>
    </row>
  </sheetData>
  <mergeCells count="1">
    <mergeCell ref="A1:R1"/>
  </mergeCells>
  <conditionalFormatting sqref="B3:B28">
    <cfRule type="cellIs" dxfId="16" priority="19" operator="lessThan">
      <formula>$B$31</formula>
    </cfRule>
  </conditionalFormatting>
  <conditionalFormatting sqref="C3:C28">
    <cfRule type="cellIs" dxfId="15" priority="18" operator="lessThan">
      <formula>$C$31</formula>
    </cfRule>
  </conditionalFormatting>
  <conditionalFormatting sqref="D3:D28">
    <cfRule type="cellIs" dxfId="14" priority="17" operator="lessThan">
      <formula>$D$31</formula>
    </cfRule>
  </conditionalFormatting>
  <conditionalFormatting sqref="E3:E28">
    <cfRule type="cellIs" dxfId="13" priority="16" operator="lessThan">
      <formula>$E$31</formula>
    </cfRule>
  </conditionalFormatting>
  <conditionalFormatting sqref="F3:F28">
    <cfRule type="cellIs" dxfId="12" priority="15" operator="lessThan">
      <formula>$F$31</formula>
    </cfRule>
  </conditionalFormatting>
  <conditionalFormatting sqref="G3:G28">
    <cfRule type="cellIs" dxfId="11" priority="14" operator="lessThan">
      <formula>$G$31</formula>
    </cfRule>
  </conditionalFormatting>
  <conditionalFormatting sqref="H3:H28">
    <cfRule type="cellIs" dxfId="10" priority="12" operator="lessThan">
      <formula>$H$31</formula>
    </cfRule>
  </conditionalFormatting>
  <conditionalFormatting sqref="I3:I28">
    <cfRule type="cellIs" dxfId="9" priority="11" operator="lessThan">
      <formula>$I$31</formula>
    </cfRule>
  </conditionalFormatting>
  <conditionalFormatting sqref="J3:J28">
    <cfRule type="cellIs" dxfId="8" priority="10" operator="lessThan">
      <formula>$J$31</formula>
    </cfRule>
  </conditionalFormatting>
  <conditionalFormatting sqref="K3:K28">
    <cfRule type="cellIs" dxfId="7" priority="9" operator="lessThan">
      <formula>$K$31</formula>
    </cfRule>
  </conditionalFormatting>
  <conditionalFormatting sqref="L3:L28">
    <cfRule type="cellIs" dxfId="6" priority="8" operator="lessThan">
      <formula>$L$31</formula>
    </cfRule>
  </conditionalFormatting>
  <conditionalFormatting sqref="M3:M28">
    <cfRule type="cellIs" dxfId="5" priority="7" operator="lessThan">
      <formula>$M$31</formula>
    </cfRule>
  </conditionalFormatting>
  <conditionalFormatting sqref="N3:N28">
    <cfRule type="cellIs" dxfId="4" priority="6" operator="lessThan">
      <formula>$N$31</formula>
    </cfRule>
  </conditionalFormatting>
  <conditionalFormatting sqref="O3:O28">
    <cfRule type="cellIs" dxfId="3" priority="5" operator="lessThan">
      <formula>$O$31</formula>
    </cfRule>
  </conditionalFormatting>
  <conditionalFormatting sqref="P3:P28">
    <cfRule type="cellIs" dxfId="2" priority="4" operator="lessThan">
      <formula>$P$31</formula>
    </cfRule>
  </conditionalFormatting>
  <conditionalFormatting sqref="Q3:Q28">
    <cfRule type="cellIs" dxfId="1" priority="2" operator="lessThan">
      <formula>$Q$31</formula>
    </cfRule>
  </conditionalFormatting>
  <conditionalFormatting sqref="R3:R28">
    <cfRule type="cellIs" dxfId="0" priority="1" operator="lessThan">
      <formula>$R$31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zoomScale="80" zoomScaleNormal="80" workbookViewId="0">
      <selection activeCell="G15" sqref="G15"/>
    </sheetView>
  </sheetViews>
  <sheetFormatPr defaultRowHeight="15" x14ac:dyDescent="0.25"/>
  <cols>
    <col min="1" max="1" width="16.140625" bestFit="1" customWidth="1"/>
    <col min="3" max="3" width="17.85546875" bestFit="1" customWidth="1"/>
  </cols>
  <sheetData>
    <row r="1" spans="1:3" x14ac:dyDescent="0.25">
      <c r="A1" s="16" t="s">
        <v>1</v>
      </c>
      <c r="B1" s="11" t="s">
        <v>18</v>
      </c>
      <c r="C1" s="11" t="s">
        <v>47</v>
      </c>
    </row>
    <row r="2" spans="1:3" x14ac:dyDescent="0.25">
      <c r="A2" s="1" t="s">
        <v>19</v>
      </c>
      <c r="B2" s="1">
        <v>89.65</v>
      </c>
      <c r="C2" s="13">
        <v>-0.81192307692306542</v>
      </c>
    </row>
    <row r="3" spans="1:3" x14ac:dyDescent="0.25">
      <c r="A3" s="1" t="s">
        <v>20</v>
      </c>
      <c r="B3" s="1">
        <v>95.48</v>
      </c>
      <c r="C3" s="13">
        <v>5.0180769230769329</v>
      </c>
    </row>
    <row r="4" spans="1:3" x14ac:dyDescent="0.25">
      <c r="A4" s="1" t="s">
        <v>21</v>
      </c>
      <c r="B4" s="1">
        <v>90.5</v>
      </c>
      <c r="C4" s="13">
        <v>3.8076923076928892E-2</v>
      </c>
    </row>
    <row r="5" spans="1:3" x14ac:dyDescent="0.25">
      <c r="A5" s="1" t="s">
        <v>22</v>
      </c>
      <c r="B5" s="1">
        <v>87.88</v>
      </c>
      <c r="C5" s="13">
        <v>-2.5819230769230757</v>
      </c>
    </row>
    <row r="6" spans="1:3" x14ac:dyDescent="0.25">
      <c r="A6" s="1" t="s">
        <v>23</v>
      </c>
      <c r="B6" s="1">
        <v>89.41</v>
      </c>
      <c r="C6" s="13">
        <v>-1.0519230769230745</v>
      </c>
    </row>
    <row r="7" spans="1:3" x14ac:dyDescent="0.25">
      <c r="A7" s="1" t="s">
        <v>24</v>
      </c>
      <c r="B7" s="1">
        <v>93.6</v>
      </c>
      <c r="C7" s="13">
        <v>3.1380769230769232</v>
      </c>
    </row>
    <row r="8" spans="1:3" x14ac:dyDescent="0.25">
      <c r="A8" s="1" t="s">
        <v>25</v>
      </c>
      <c r="B8" s="1">
        <v>89.16</v>
      </c>
      <c r="C8" s="13">
        <v>-1.3019230769230745</v>
      </c>
    </row>
    <row r="9" spans="1:3" x14ac:dyDescent="0.25">
      <c r="A9" s="1" t="s">
        <v>26</v>
      </c>
      <c r="B9" s="1">
        <v>86.67</v>
      </c>
      <c r="C9" s="13">
        <v>-3.7919230769230694</v>
      </c>
    </row>
    <row r="10" spans="1:3" x14ac:dyDescent="0.25">
      <c r="A10" s="1" t="s">
        <v>27</v>
      </c>
      <c r="B10" s="1">
        <v>90.66</v>
      </c>
      <c r="C10" s="13">
        <v>0.19807692307692548</v>
      </c>
    </row>
    <row r="11" spans="1:3" x14ac:dyDescent="0.25">
      <c r="A11" s="1" t="s">
        <v>28</v>
      </c>
      <c r="B11" s="1">
        <v>90.85</v>
      </c>
      <c r="C11" s="13">
        <v>0.38807692307692321</v>
      </c>
    </row>
    <row r="12" spans="1:3" x14ac:dyDescent="0.25">
      <c r="A12" s="1" t="s">
        <v>29</v>
      </c>
      <c r="B12" s="1">
        <v>91.3</v>
      </c>
      <c r="C12" s="13">
        <v>0.83807692307692605</v>
      </c>
    </row>
    <row r="13" spans="1:3" x14ac:dyDescent="0.25">
      <c r="A13" s="1" t="s">
        <v>30</v>
      </c>
      <c r="B13" s="1">
        <v>91.03</v>
      </c>
      <c r="C13" s="13">
        <v>0.56807692307693003</v>
      </c>
    </row>
    <row r="14" spans="1:3" x14ac:dyDescent="0.25">
      <c r="A14" s="1" t="s">
        <v>31</v>
      </c>
      <c r="B14" s="1">
        <v>90.57</v>
      </c>
      <c r="C14" s="13">
        <v>0.10807692307692207</v>
      </c>
    </row>
    <row r="15" spans="1:3" x14ac:dyDescent="0.25">
      <c r="A15" s="1" t="s">
        <v>32</v>
      </c>
      <c r="B15" s="1">
        <v>89.85</v>
      </c>
      <c r="C15" s="13">
        <v>-0.61192307692307679</v>
      </c>
    </row>
    <row r="16" spans="1:3" x14ac:dyDescent="0.25">
      <c r="A16" s="1" t="s">
        <v>33</v>
      </c>
      <c r="B16" s="1">
        <v>88.83</v>
      </c>
      <c r="C16" s="13">
        <v>-1.6319230769230728</v>
      </c>
    </row>
    <row r="17" spans="1:3" x14ac:dyDescent="0.25">
      <c r="A17" s="1" t="s">
        <v>34</v>
      </c>
      <c r="B17" s="1">
        <v>90.5</v>
      </c>
      <c r="C17" s="13">
        <v>3.8076923076928892E-2</v>
      </c>
    </row>
    <row r="18" spans="1:3" x14ac:dyDescent="0.25">
      <c r="A18" s="1" t="s">
        <v>35</v>
      </c>
      <c r="B18" s="1">
        <v>88.73</v>
      </c>
      <c r="C18" s="13">
        <v>-1.7319230769230671</v>
      </c>
    </row>
    <row r="19" spans="1:3" x14ac:dyDescent="0.25">
      <c r="A19" s="1" t="s">
        <v>36</v>
      </c>
      <c r="B19" s="1">
        <v>90.38</v>
      </c>
      <c r="C19" s="13">
        <v>-8.1923076923075655E-2</v>
      </c>
    </row>
    <row r="20" spans="1:3" x14ac:dyDescent="0.25">
      <c r="A20" s="1" t="s">
        <v>37</v>
      </c>
      <c r="B20" s="1">
        <v>87.51</v>
      </c>
      <c r="C20" s="13">
        <v>-2.951923076923066</v>
      </c>
    </row>
    <row r="21" spans="1:3" x14ac:dyDescent="0.25">
      <c r="A21" s="1" t="s">
        <v>38</v>
      </c>
      <c r="B21" s="1">
        <v>99.39</v>
      </c>
      <c r="C21" s="13">
        <v>8.9280769230769295</v>
      </c>
    </row>
    <row r="22" spans="1:3" x14ac:dyDescent="0.25">
      <c r="A22" s="1" t="s">
        <v>39</v>
      </c>
      <c r="B22" s="1">
        <v>89.11</v>
      </c>
      <c r="C22" s="13">
        <v>-1.3519230769230717</v>
      </c>
    </row>
    <row r="23" spans="1:3" x14ac:dyDescent="0.25">
      <c r="A23" s="1" t="s">
        <v>40</v>
      </c>
      <c r="B23" s="1">
        <v>87.64</v>
      </c>
      <c r="C23" s="13">
        <v>-2.8219230769230705</v>
      </c>
    </row>
    <row r="24" spans="1:3" x14ac:dyDescent="0.25">
      <c r="A24" s="1" t="s">
        <v>41</v>
      </c>
      <c r="B24" s="1">
        <v>90.95</v>
      </c>
      <c r="C24" s="13">
        <v>0.48807692307693173</v>
      </c>
    </row>
    <row r="25" spans="1:3" x14ac:dyDescent="0.25">
      <c r="A25" s="1" t="s">
        <v>42</v>
      </c>
      <c r="B25" s="1">
        <v>86.51</v>
      </c>
      <c r="C25" s="13">
        <v>-3.951923076923066</v>
      </c>
    </row>
    <row r="26" spans="1:3" x14ac:dyDescent="0.25">
      <c r="A26" s="1" t="s">
        <v>43</v>
      </c>
      <c r="B26" s="1">
        <v>97.14</v>
      </c>
      <c r="C26" s="13">
        <v>6.6780769230769295</v>
      </c>
    </row>
    <row r="27" spans="1:3" x14ac:dyDescent="0.25">
      <c r="A27" s="1" t="s">
        <v>44</v>
      </c>
      <c r="B27" s="1">
        <v>88.71</v>
      </c>
      <c r="C27" s="13">
        <v>-1.7519230769230774</v>
      </c>
    </row>
    <row r="28" spans="1:3" x14ac:dyDescent="0.25">
      <c r="B28" s="18">
        <f>AVERAGE(B2:B27)</f>
        <v>90.461923076923071</v>
      </c>
      <c r="C28" s="3">
        <f>AVERAGE(C2:C27)</f>
        <v>4.9191420168006935E-15</v>
      </c>
    </row>
    <row r="29" spans="1:3" x14ac:dyDescent="0.25">
      <c r="A29" s="19" t="s">
        <v>51</v>
      </c>
      <c r="B29" s="3">
        <f>MIN(B2:B27)</f>
        <v>86.51</v>
      </c>
      <c r="C29" s="3">
        <f>MIN(C2:C27)</f>
        <v>-3.951923076923066</v>
      </c>
    </row>
    <row r="30" spans="1:3" x14ac:dyDescent="0.25">
      <c r="A30" s="19" t="s">
        <v>52</v>
      </c>
      <c r="B30" s="3">
        <f>MAX(B2:B27)</f>
        <v>99.39</v>
      </c>
      <c r="C30" s="3">
        <f>MAX(C2:C27)</f>
        <v>8.9280769230769295</v>
      </c>
    </row>
    <row r="32" spans="1:3" x14ac:dyDescent="0.25">
      <c r="A32" s="19" t="s">
        <v>53</v>
      </c>
      <c r="B32" s="20" t="s">
        <v>54</v>
      </c>
      <c r="C32" s="20" t="s">
        <v>55</v>
      </c>
    </row>
    <row r="33" spans="1:3" x14ac:dyDescent="0.25">
      <c r="B33" s="2">
        <f>B28</f>
        <v>90.461923076923071</v>
      </c>
      <c r="C33" s="3">
        <f>MIN(C6:C27)</f>
        <v>-3.951923076923066</v>
      </c>
    </row>
    <row r="34" spans="1:3" x14ac:dyDescent="0.25">
      <c r="B34" s="2">
        <f>B28</f>
        <v>90.461923076923071</v>
      </c>
      <c r="C34">
        <v>18.43</v>
      </c>
    </row>
    <row r="35" spans="1:3" x14ac:dyDescent="0.25">
      <c r="A35" s="19" t="s">
        <v>56</v>
      </c>
    </row>
    <row r="36" spans="1:3" x14ac:dyDescent="0.25">
      <c r="B36" s="19" t="s">
        <v>54</v>
      </c>
      <c r="C36" s="19" t="s">
        <v>55</v>
      </c>
    </row>
    <row r="37" spans="1:3" x14ac:dyDescent="0.25">
      <c r="B37" s="3">
        <f>B29</f>
        <v>86.51</v>
      </c>
      <c r="C37" s="18">
        <f>C28</f>
        <v>4.9191420168006935E-15</v>
      </c>
    </row>
    <row r="38" spans="1:3" x14ac:dyDescent="0.25">
      <c r="B38" s="3">
        <f>B30</f>
        <v>99.39</v>
      </c>
      <c r="C38" s="18">
        <f>C28</f>
        <v>4.9191420168006935E-15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 &amp; Prio Mat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Irfan Tri Raharjo, SE</cp:lastModifiedBy>
  <dcterms:modified xsi:type="dcterms:W3CDTF">2025-12-23T09:30:53Z</dcterms:modified>
</cp:coreProperties>
</file>
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Asistensi Penelitian\PDAM\"/>
    </mc:Choice>
  </mc:AlternateContent>
  <bookViews>
    <workbookView xWindow="0" yWindow="0" windowWidth="20400" windowHeight="7755" tabRatio="500"/>
  </bookViews>
  <sheets>
    <sheet name="Gap dan Priority Mat" sheetId="1" r:id="rId1"/>
  </sheets>
  <calcPr calcId="152511"/>
</workbook>
</file>

<file path=xl/calcChain.xml><?xml version="1.0" encoding="utf-8"?>
<calcChain xmlns="http://schemas.openxmlformats.org/spreadsheetml/2006/main"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3" i="1"/>
  <c r="C31" i="1"/>
  <c r="D31" i="1"/>
  <c r="E31" i="1"/>
  <c r="G31" i="1"/>
  <c r="H31" i="1"/>
  <c r="I31" i="1"/>
  <c r="K31" i="1"/>
  <c r="L31" i="1"/>
  <c r="M31" i="1"/>
  <c r="O31" i="1"/>
  <c r="P31" i="1"/>
  <c r="Q31" i="1"/>
  <c r="U31" i="1"/>
  <c r="B31" i="1"/>
  <c r="Q30" i="1"/>
  <c r="R30" i="1"/>
  <c r="R31" i="1" s="1"/>
  <c r="S30" i="1"/>
  <c r="S31" i="1" s="1"/>
  <c r="T30" i="1"/>
  <c r="T31" i="1" s="1"/>
  <c r="U30" i="1"/>
  <c r="V30" i="1"/>
  <c r="V31" i="1" s="1"/>
  <c r="W30" i="1"/>
  <c r="W31" i="1" s="1"/>
  <c r="X30" i="1"/>
  <c r="AA4" i="1" s="1"/>
  <c r="C30" i="1"/>
  <c r="D30" i="1"/>
  <c r="E30" i="1"/>
  <c r="F30" i="1"/>
  <c r="F31" i="1" s="1"/>
  <c r="G30" i="1"/>
  <c r="H30" i="1"/>
  <c r="I30" i="1"/>
  <c r="J30" i="1"/>
  <c r="J31" i="1" s="1"/>
  <c r="K30" i="1"/>
  <c r="L30" i="1"/>
  <c r="M30" i="1"/>
  <c r="N30" i="1"/>
  <c r="N31" i="1" s="1"/>
  <c r="O30" i="1"/>
  <c r="P30" i="1"/>
  <c r="B30" i="1"/>
  <c r="Y28" i="1" l="1"/>
  <c r="Y24" i="1"/>
  <c r="Y20" i="1"/>
  <c r="Y16" i="1"/>
  <c r="Y12" i="1"/>
  <c r="Y8" i="1"/>
  <c r="Y4" i="1"/>
  <c r="AA26" i="1"/>
  <c r="AA22" i="1"/>
  <c r="AA18" i="1"/>
  <c r="AA14" i="1"/>
  <c r="AA10" i="1"/>
  <c r="X31" i="1"/>
  <c r="Y27" i="1"/>
  <c r="Y23" i="1"/>
  <c r="Y19" i="1"/>
  <c r="Y15" i="1"/>
  <c r="Y11" i="1"/>
  <c r="Y7" i="1"/>
  <c r="AA3" i="1"/>
  <c r="AA25" i="1"/>
  <c r="AA21" i="1"/>
  <c r="AA17" i="1"/>
  <c r="AA13" i="1"/>
  <c r="AA9" i="1"/>
  <c r="Y26" i="1"/>
  <c r="Y22" i="1"/>
  <c r="Y18" i="1"/>
  <c r="Y14" i="1"/>
  <c r="Y10" i="1"/>
  <c r="Y6" i="1"/>
  <c r="AA28" i="1"/>
  <c r="AA24" i="1"/>
  <c r="AA20" i="1"/>
  <c r="AA16" i="1"/>
  <c r="AA12" i="1"/>
  <c r="AA8" i="1"/>
  <c r="Y3" i="1"/>
  <c r="Y25" i="1"/>
  <c r="Y21" i="1"/>
  <c r="Y17" i="1"/>
  <c r="Y13" i="1"/>
  <c r="Y9" i="1"/>
  <c r="Y5" i="1"/>
  <c r="AA27" i="1"/>
  <c r="AA23" i="1"/>
  <c r="AA19" i="1"/>
  <c r="AA15" i="1"/>
  <c r="AA11" i="1"/>
  <c r="AA7" i="1"/>
  <c r="AA6" i="1"/>
  <c r="AA5" i="1"/>
</calcChain>
</file>

<file path=xl/sharedStrings.xml><?xml version="1.0" encoding="utf-8"?>
<sst xmlns="http://schemas.openxmlformats.org/spreadsheetml/2006/main" count="57" uniqueCount="57">
  <si>
    <t>Nama Unit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</si>
  <si>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</si>
  <si>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</si>
  <si>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</si>
  <si>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</si>
  <si>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</si>
  <si>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</si>
  <si>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</si>
  <si>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</si>
  <si>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</si>
  <si>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</si>
  <si>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</si>
  <si>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</si>
  <si>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</si>
  <si>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</si>
  <si>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</si>
  <si>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kategori_emp</t>
  </si>
  <si>
    <t>kategori_esa</t>
  </si>
  <si>
    <t>kategori_fr</t>
  </si>
  <si>
    <t>kategori_pq</t>
  </si>
  <si>
    <t>kategori_qa</t>
  </si>
  <si>
    <t>kategori_rs</t>
  </si>
  <si>
    <t>NRR</t>
  </si>
  <si>
    <t>Total</t>
  </si>
  <si>
    <t>AMPELGADING</t>
  </si>
  <si>
    <t>BANTUR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</si>
  <si>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</si>
  <si>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</si>
  <si>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</si>
  <si>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</si>
  <si>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</si>
  <si>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</si>
  <si>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</si>
  <si>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</si>
  <si>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</si>
  <si>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</si>
  <si>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NGANTANG</t>
  </si>
  <si>
    <t>PAGAK</t>
  </si>
  <si>
    <t>PAKIS</t>
  </si>
  <si>
    <t>PAKISAJI</t>
  </si>
  <si>
    <t>PONCOKUSUMO</t>
  </si>
  <si>
    <t>PUJON</t>
  </si>
  <si>
    <t>SAWOJAJAR</t>
  </si>
  <si>
    <t>SBR. MANJING W</t>
  </si>
  <si>
    <t>SINGOSARI</t>
  </si>
  <si>
    <t>TAJINAN</t>
  </si>
  <si>
    <t>TIRTOYUDO</t>
  </si>
  <si>
    <t>TUMPANG</t>
  </si>
  <si>
    <t>TUREN</t>
  </si>
  <si>
    <t>WAGIR</t>
  </si>
  <si>
    <t>Rerata</t>
  </si>
  <si>
    <t>Internal Performance Gap</t>
  </si>
  <si>
    <t>Performance Gap (&lt; 5%)</t>
  </si>
  <si>
    <t>GAP</t>
  </si>
  <si>
    <t>Status Kinerja</t>
  </si>
  <si>
    <t>Status GAP</t>
  </si>
  <si>
    <t>Kuadran
Matriks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</si>
</sst>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2" fontId="0" fillId="0" borderId="3" xfId="0" applyNumberFormat="1" applyFont="1" applyFill="1" applyBorder="1"/>
    <xf numFmtId="2" fontId="0" fillId="0" borderId="4" xfId="0" applyNumberFormat="1" applyFont="1" applyFill="1" applyBorder="1"/>
    <xf numFmtId="0" fontId="2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5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wrapText="1"/>
    </xf>
    <xf numFmtId="2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showGridLines="0" tabSelected="1" zoomScale="60" zoomScaleNormal="60" workbookViewId="0">
      <selection activeCell="M34" sqref="M34"/>
    </sheetView>
  </sheetViews>
  <sheetFormatPr defaultRowHeight="15" x14ac:dyDescent="0.25"/>
  <cols>
    <col min="1" max="1" width="16.140625" bestFit="1" customWidth="1"/>
    <col min="2" max="16" width="6" customWidth="1"/>
    <col min="17" max="18" width="8.7109375" hidden="1" customWidth="1"/>
    <col min="19" max="22" width="8.7109375" style="2" hidden="1" customWidth="1"/>
    <col min="23" max="23" width="6" customWidth="1"/>
    <col min="24" max="24" width="6.7109375" customWidth="1"/>
    <col min="26" max="26" width="9.85546875" customWidth="1"/>
    <col min="28" max="28" width="29.140625" bestFit="1" customWidth="1"/>
  </cols>
  <sheetData>
    <row r="1" spans="1:28" x14ac:dyDescent="0.25">
      <c r="A1" s="20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28.5" customHeigh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1" t="s">
        <v>22</v>
      </c>
      <c r="X2" s="11" t="s">
        <v>23</v>
      </c>
      <c r="Y2" s="13" t="s">
        <v>53</v>
      </c>
      <c r="Z2" s="14" t="s">
        <v>55</v>
      </c>
      <c r="AA2" s="14" t="s">
        <v>54</v>
      </c>
      <c r="AB2" s="14" t="s">
        <v>56</v>
      </c>
    </row>
    <row r="3" spans="1:28" x14ac:dyDescent="0.25">
      <c r="A3" s="1" t="s">
        <v>24</v>
      </c>
      <c r="B3" s="15">
        <v>2.91</v>
      </c>
      <c r="C3" s="15">
        <v>2.95</v>
      </c>
      <c r="D3" s="15">
        <v>3.21</v>
      </c>
      <c r="E3" s="15">
        <v>2.97</v>
      </c>
      <c r="F3" s="15">
        <v>2.82</v>
      </c>
      <c r="G3" s="15">
        <v>2.9</v>
      </c>
      <c r="H3" s="15">
        <v>3.07</v>
      </c>
      <c r="I3" s="15">
        <v>3.17</v>
      </c>
      <c r="J3" s="15">
        <v>2.79</v>
      </c>
      <c r="K3" s="15">
        <v>2.95</v>
      </c>
      <c r="L3" s="15">
        <v>2.71</v>
      </c>
      <c r="M3" s="15">
        <v>2.92</v>
      </c>
      <c r="N3" s="15">
        <v>2.99</v>
      </c>
      <c r="O3" s="15">
        <v>3.15</v>
      </c>
      <c r="P3" s="15">
        <v>3.02</v>
      </c>
      <c r="Q3" s="15">
        <v>0.48</v>
      </c>
      <c r="R3" s="15">
        <v>0.51</v>
      </c>
      <c r="S3" s="16">
        <v>0.47</v>
      </c>
      <c r="T3" s="16">
        <v>0.52</v>
      </c>
      <c r="U3" s="16">
        <v>0.51</v>
      </c>
      <c r="V3" s="16">
        <v>0.49</v>
      </c>
      <c r="W3" s="15">
        <v>2.98</v>
      </c>
      <c r="X3" s="15">
        <v>74.53</v>
      </c>
      <c r="Y3" s="15">
        <f>X3-$X$30</f>
        <v>-6.4273076923076644</v>
      </c>
      <c r="Z3" s="17" t="str">
        <f>IF(Y3&gt;=0,"Positif","Negatif")</f>
        <v>Negatif</v>
      </c>
      <c r="AA3" s="18" t="str">
        <f>IF(X3&gt;=$X$30,"Tinggi","Rendah")</f>
        <v>Rendah</v>
      </c>
      <c r="AB3" s="19" t="str">
        <f>IF(AND(X3&lt;$X$30,Y3&lt;0),
   "Kuadran I - Prioritas Utama",
IF(AND(X3&gt;=$X$30,Y3&gt;=0),
   "Kuadran II - Pertahankan",
IF(AND(X3&lt;$X$30,Y3&gt;=0),
   "Kuadran III - Prioritas Rendah",
   "Kuadran IV - Berlebihan")))</f>
        <v>Kuadran I - Prioritas Utama</v>
      </c>
    </row>
    <row r="4" spans="1:28" x14ac:dyDescent="0.25">
      <c r="A4" s="1" t="s">
        <v>25</v>
      </c>
      <c r="B4" s="15">
        <v>3.38</v>
      </c>
      <c r="C4" s="15">
        <v>2.25</v>
      </c>
      <c r="D4" s="15">
        <v>3.35</v>
      </c>
      <c r="E4" s="15">
        <v>2.2400000000000002</v>
      </c>
      <c r="F4" s="15">
        <v>2.71</v>
      </c>
      <c r="G4" s="15">
        <v>2.72</v>
      </c>
      <c r="H4" s="15">
        <v>3.06</v>
      </c>
      <c r="I4" s="15">
        <v>2.2799999999999998</v>
      </c>
      <c r="J4" s="15">
        <v>2.36</v>
      </c>
      <c r="K4" s="15">
        <v>2.37</v>
      </c>
      <c r="L4" s="15">
        <v>2.34</v>
      </c>
      <c r="M4" s="15">
        <v>2.46</v>
      </c>
      <c r="N4" s="15">
        <v>2.46</v>
      </c>
      <c r="O4" s="15">
        <v>2.46</v>
      </c>
      <c r="P4" s="15">
        <v>3.37</v>
      </c>
      <c r="Q4" s="15">
        <v>0.45</v>
      </c>
      <c r="R4" s="15">
        <v>0.46</v>
      </c>
      <c r="S4" s="16">
        <v>0.4</v>
      </c>
      <c r="T4" s="16">
        <v>0.44</v>
      </c>
      <c r="U4" s="16">
        <v>0.47</v>
      </c>
      <c r="V4" s="16">
        <v>0.47</v>
      </c>
      <c r="W4" s="15">
        <v>2.69</v>
      </c>
      <c r="X4" s="15">
        <v>67.23</v>
      </c>
      <c r="Y4" s="15">
        <f t="shared" ref="Y4:Y28" si="0">X4-$X$30</f>
        <v>-13.727307692307662</v>
      </c>
      <c r="Z4" s="17" t="str">
        <f t="shared" ref="Z4:Z28" si="1">IF(Y4&gt;=0,"Positif","Negatif")</f>
        <v>Negatif</v>
      </c>
      <c r="AA4" s="18" t="str">
        <f t="shared" ref="AA4:AA28" si="2">IF(X4&gt;=$X$30,"Tinggi","Rendah")</f>
        <v>Rendah</v>
      </c>
      <c r="AB4" s="19" t="str">
        <f t="shared" ref="AB4:AB28" si="3">IF(AND(X4&lt;$X$30,Y4&lt;0),
   "Kuadran I - Prioritas Utama",
IF(AND(X4&gt;=$X$30,Y4&gt;=0),
   "Kuadran II - Pertahankan",
IF(AND(X4&lt;$X$30,Y4&gt;=0),
   "Kuadran III - Prioritas Rendah",
   "Kuadran IV - Berlebihan")))</f>
        <v>Kuadran I - Prioritas Utama</v>
      </c>
    </row>
    <row r="5" spans="1:28" x14ac:dyDescent="0.25">
      <c r="A5" s="1" t="s">
        <v>26</v>
      </c>
      <c r="B5" s="15">
        <v>3.02</v>
      </c>
      <c r="C5" s="15">
        <v>3.14</v>
      </c>
      <c r="D5" s="15">
        <v>3.3</v>
      </c>
      <c r="E5" s="15">
        <v>3.03</v>
      </c>
      <c r="F5" s="15">
        <v>3.03</v>
      </c>
      <c r="G5" s="15">
        <v>3.01</v>
      </c>
      <c r="H5" s="15">
        <v>3.43</v>
      </c>
      <c r="I5" s="15">
        <v>3.11</v>
      </c>
      <c r="J5" s="15">
        <v>2.99</v>
      </c>
      <c r="K5" s="15">
        <v>2.99</v>
      </c>
      <c r="L5" s="15">
        <v>3.02</v>
      </c>
      <c r="M5" s="15">
        <v>2.99</v>
      </c>
      <c r="N5" s="15">
        <v>3</v>
      </c>
      <c r="O5" s="15">
        <v>3.27</v>
      </c>
      <c r="P5" s="15">
        <v>3.01</v>
      </c>
      <c r="Q5" s="15">
        <v>0.5</v>
      </c>
      <c r="R5" s="15">
        <v>0.52</v>
      </c>
      <c r="S5" s="16">
        <v>0.5</v>
      </c>
      <c r="T5" s="16">
        <v>0.54</v>
      </c>
      <c r="U5" s="16">
        <v>0.53</v>
      </c>
      <c r="V5" s="16">
        <v>0.51</v>
      </c>
      <c r="W5" s="15">
        <v>3.1</v>
      </c>
      <c r="X5" s="15">
        <v>77.58</v>
      </c>
      <c r="Y5" s="15">
        <f t="shared" si="0"/>
        <v>-3.3773076923076673</v>
      </c>
      <c r="Z5" s="17" t="str">
        <f t="shared" si="1"/>
        <v>Negatif</v>
      </c>
      <c r="AA5" s="18" t="str">
        <f t="shared" si="2"/>
        <v>Rendah</v>
      </c>
      <c r="AB5" s="19" t="str">
        <f t="shared" si="3"/>
        <v>Kuadran I - Prioritas Utama</v>
      </c>
    </row>
    <row r="6" spans="1:28" x14ac:dyDescent="0.25">
      <c r="A6" s="1" t="s">
        <v>27</v>
      </c>
      <c r="B6" s="15">
        <v>3.17</v>
      </c>
      <c r="C6" s="15">
        <v>3.42</v>
      </c>
      <c r="D6" s="15">
        <v>3.6</v>
      </c>
      <c r="E6" s="15">
        <v>3.3</v>
      </c>
      <c r="F6" s="15">
        <v>3.06</v>
      </c>
      <c r="G6" s="15">
        <v>3.06</v>
      </c>
      <c r="H6" s="15">
        <v>3.64</v>
      </c>
      <c r="I6" s="15">
        <v>3.63</v>
      </c>
      <c r="J6" s="15">
        <v>3.07</v>
      </c>
      <c r="K6" s="15">
        <v>3.04</v>
      </c>
      <c r="L6" s="15">
        <v>3.02</v>
      </c>
      <c r="M6" s="15">
        <v>3.08</v>
      </c>
      <c r="N6" s="15">
        <v>3.07</v>
      </c>
      <c r="O6" s="15">
        <v>3.46</v>
      </c>
      <c r="P6" s="15">
        <v>3.03</v>
      </c>
      <c r="Q6" s="15">
        <v>0.51</v>
      </c>
      <c r="R6" s="15">
        <v>0.53</v>
      </c>
      <c r="S6" s="16">
        <v>0.51</v>
      </c>
      <c r="T6" s="16">
        <v>0.61</v>
      </c>
      <c r="U6" s="16">
        <v>0.56999999999999995</v>
      </c>
      <c r="V6" s="16">
        <v>0.55000000000000004</v>
      </c>
      <c r="W6" s="15">
        <v>3.28</v>
      </c>
      <c r="X6" s="15">
        <v>82.01</v>
      </c>
      <c r="Y6" s="15">
        <f t="shared" si="0"/>
        <v>1.0526923076923396</v>
      </c>
      <c r="Z6" s="17" t="str">
        <f t="shared" si="1"/>
        <v>Positif</v>
      </c>
      <c r="AA6" s="18" t="str">
        <f t="shared" si="2"/>
        <v>Tinggi</v>
      </c>
      <c r="AB6" s="19" t="str">
        <f t="shared" si="3"/>
        <v>Kuadran II - Pertahankan</v>
      </c>
    </row>
    <row r="7" spans="1:28" x14ac:dyDescent="0.25">
      <c r="A7" s="1" t="s">
        <v>28</v>
      </c>
      <c r="B7" s="15">
        <v>3.03</v>
      </c>
      <c r="C7" s="15">
        <v>3.23</v>
      </c>
      <c r="D7" s="15">
        <v>3.29</v>
      </c>
      <c r="E7" s="15">
        <v>3.23</v>
      </c>
      <c r="F7" s="15">
        <v>3.14</v>
      </c>
      <c r="G7" s="15">
        <v>3.08</v>
      </c>
      <c r="H7" s="15">
        <v>3.11</v>
      </c>
      <c r="I7" s="15">
        <v>3.05</v>
      </c>
      <c r="J7" s="15">
        <v>3.15</v>
      </c>
      <c r="K7" s="15">
        <v>3.13</v>
      </c>
      <c r="L7" s="15">
        <v>3.1</v>
      </c>
      <c r="M7" s="15">
        <v>3.16</v>
      </c>
      <c r="N7" s="15">
        <v>3.16</v>
      </c>
      <c r="O7" s="15">
        <v>3.15</v>
      </c>
      <c r="P7" s="15">
        <v>3.14</v>
      </c>
      <c r="Q7" s="15">
        <v>0.52</v>
      </c>
      <c r="R7" s="15">
        <v>0.53</v>
      </c>
      <c r="S7" s="16">
        <v>0.52</v>
      </c>
      <c r="T7" s="16">
        <v>0.51</v>
      </c>
      <c r="U7" s="16">
        <v>0.54</v>
      </c>
      <c r="V7" s="16">
        <v>0.52</v>
      </c>
      <c r="W7" s="15">
        <v>3.14</v>
      </c>
      <c r="X7" s="15">
        <v>78.61</v>
      </c>
      <c r="Y7" s="15">
        <f t="shared" si="0"/>
        <v>-2.3473076923076661</v>
      </c>
      <c r="Z7" s="17" t="str">
        <f t="shared" si="1"/>
        <v>Negatif</v>
      </c>
      <c r="AA7" s="18" t="str">
        <f t="shared" si="2"/>
        <v>Rendah</v>
      </c>
      <c r="AB7" s="19" t="str">
        <f t="shared" si="3"/>
        <v>Kuadran I - Prioritas Utama</v>
      </c>
    </row>
    <row r="8" spans="1:28" x14ac:dyDescent="0.25">
      <c r="A8" s="1" t="s">
        <v>29</v>
      </c>
      <c r="B8" s="15">
        <v>3.98</v>
      </c>
      <c r="C8" s="15">
        <v>3.43</v>
      </c>
      <c r="D8" s="15">
        <v>4</v>
      </c>
      <c r="E8" s="15">
        <v>3.49</v>
      </c>
      <c r="F8" s="15">
        <v>3.99</v>
      </c>
      <c r="G8" s="15">
        <v>3.49</v>
      </c>
      <c r="H8" s="15">
        <v>3.39</v>
      </c>
      <c r="I8" s="15">
        <v>3.42</v>
      </c>
      <c r="J8" s="15">
        <v>3.49</v>
      </c>
      <c r="K8" s="15">
        <v>3.99</v>
      </c>
      <c r="L8" s="15">
        <v>4</v>
      </c>
      <c r="M8" s="15">
        <v>4</v>
      </c>
      <c r="N8" s="15">
        <v>4</v>
      </c>
      <c r="O8" s="15">
        <v>4</v>
      </c>
      <c r="P8" s="15">
        <v>3.98</v>
      </c>
      <c r="Q8" s="15">
        <v>0.62</v>
      </c>
      <c r="R8" s="15">
        <v>0.67</v>
      </c>
      <c r="S8" s="16">
        <v>0.65</v>
      </c>
      <c r="T8" s="16">
        <v>0.56999999999999995</v>
      </c>
      <c r="U8" s="16">
        <v>0.62</v>
      </c>
      <c r="V8" s="16">
        <v>0.62</v>
      </c>
      <c r="W8" s="15">
        <v>3.74</v>
      </c>
      <c r="X8" s="15">
        <v>93.6</v>
      </c>
      <c r="Y8" s="15">
        <f t="shared" si="0"/>
        <v>12.642692307692329</v>
      </c>
      <c r="Z8" s="17" t="str">
        <f t="shared" si="1"/>
        <v>Positif</v>
      </c>
      <c r="AA8" s="18" t="str">
        <f t="shared" si="2"/>
        <v>Tinggi</v>
      </c>
      <c r="AB8" s="19" t="str">
        <f t="shared" si="3"/>
        <v>Kuadran II - Pertahankan</v>
      </c>
    </row>
    <row r="9" spans="1:28" x14ac:dyDescent="0.25">
      <c r="A9" s="1" t="s">
        <v>30</v>
      </c>
      <c r="B9" s="15">
        <v>3.01</v>
      </c>
      <c r="C9" s="15">
        <v>3.16</v>
      </c>
      <c r="D9" s="15">
        <v>3.36</v>
      </c>
      <c r="E9" s="15">
        <v>3</v>
      </c>
      <c r="F9" s="15">
        <v>2.99</v>
      </c>
      <c r="G9" s="15">
        <v>3</v>
      </c>
      <c r="H9" s="15">
        <v>3.46</v>
      </c>
      <c r="I9" s="15">
        <v>3.46</v>
      </c>
      <c r="J9" s="15">
        <v>2.98</v>
      </c>
      <c r="K9" s="15">
        <v>2.99</v>
      </c>
      <c r="L9" s="15">
        <v>2.98</v>
      </c>
      <c r="M9" s="15">
        <v>3.01</v>
      </c>
      <c r="N9" s="15">
        <v>3.01</v>
      </c>
      <c r="O9" s="15">
        <v>3.17</v>
      </c>
      <c r="P9" s="15">
        <v>3.01</v>
      </c>
      <c r="Q9" s="15">
        <v>0.5</v>
      </c>
      <c r="R9" s="15">
        <v>0.51</v>
      </c>
      <c r="S9" s="16">
        <v>0.5</v>
      </c>
      <c r="T9" s="16">
        <v>0.57999999999999996</v>
      </c>
      <c r="U9" s="16">
        <v>0.53</v>
      </c>
      <c r="V9" s="16">
        <v>0.51</v>
      </c>
      <c r="W9" s="15">
        <v>3.13</v>
      </c>
      <c r="X9" s="15">
        <v>78.22</v>
      </c>
      <c r="Y9" s="15">
        <f t="shared" si="0"/>
        <v>-2.7373076923076667</v>
      </c>
      <c r="Z9" s="17" t="str">
        <f t="shared" si="1"/>
        <v>Negatif</v>
      </c>
      <c r="AA9" s="18" t="str">
        <f t="shared" si="2"/>
        <v>Rendah</v>
      </c>
      <c r="AB9" s="19" t="str">
        <f t="shared" si="3"/>
        <v>Kuadran I - Prioritas Utama</v>
      </c>
    </row>
    <row r="10" spans="1:28" x14ac:dyDescent="0.25">
      <c r="A10" s="1" t="s">
        <v>31</v>
      </c>
      <c r="B10" s="15">
        <v>3.32</v>
      </c>
      <c r="C10" s="15">
        <v>3.88</v>
      </c>
      <c r="D10" s="15">
        <v>3.92</v>
      </c>
      <c r="E10" s="15">
        <v>2.74</v>
      </c>
      <c r="F10" s="15">
        <v>3.01</v>
      </c>
      <c r="G10" s="15">
        <v>3.69</v>
      </c>
      <c r="H10" s="15">
        <v>3.01</v>
      </c>
      <c r="I10" s="15">
        <v>2.78</v>
      </c>
      <c r="J10" s="15">
        <v>2.99</v>
      </c>
      <c r="K10" s="15">
        <v>3.63</v>
      </c>
      <c r="L10" s="15">
        <v>2.82</v>
      </c>
      <c r="M10" s="15">
        <v>3.09</v>
      </c>
      <c r="N10" s="15">
        <v>3.41</v>
      </c>
      <c r="O10" s="15">
        <v>3.75</v>
      </c>
      <c r="P10" s="15">
        <v>3.65</v>
      </c>
      <c r="Q10" s="15">
        <v>0.56000000000000005</v>
      </c>
      <c r="R10" s="15">
        <v>0.6</v>
      </c>
      <c r="S10" s="16">
        <v>0.52</v>
      </c>
      <c r="T10" s="16">
        <v>0.48</v>
      </c>
      <c r="U10" s="16">
        <v>0.56000000000000005</v>
      </c>
      <c r="V10" s="16">
        <v>0.6</v>
      </c>
      <c r="W10" s="15">
        <v>3.32</v>
      </c>
      <c r="X10" s="15">
        <v>82.98</v>
      </c>
      <c r="Y10" s="15">
        <f t="shared" si="0"/>
        <v>2.0226923076923384</v>
      </c>
      <c r="Z10" s="17" t="str">
        <f t="shared" si="1"/>
        <v>Positif</v>
      </c>
      <c r="AA10" s="18" t="str">
        <f t="shared" si="2"/>
        <v>Tinggi</v>
      </c>
      <c r="AB10" s="19" t="str">
        <f t="shared" si="3"/>
        <v>Kuadran II - Pertahankan</v>
      </c>
    </row>
    <row r="11" spans="1:28" x14ac:dyDescent="0.25">
      <c r="A11" s="1" t="s">
        <v>32</v>
      </c>
      <c r="B11" s="15">
        <v>3.06</v>
      </c>
      <c r="C11" s="15">
        <v>3.1</v>
      </c>
      <c r="D11" s="15">
        <v>3.21</v>
      </c>
      <c r="E11" s="15">
        <v>3.14</v>
      </c>
      <c r="F11" s="15">
        <v>3.2</v>
      </c>
      <c r="G11" s="15">
        <v>3.13</v>
      </c>
      <c r="H11" s="15">
        <v>3.14</v>
      </c>
      <c r="I11" s="15">
        <v>3.19</v>
      </c>
      <c r="J11" s="15">
        <v>3.13</v>
      </c>
      <c r="K11" s="15">
        <v>3.14</v>
      </c>
      <c r="L11" s="15">
        <v>3.11</v>
      </c>
      <c r="M11" s="15">
        <v>3.08</v>
      </c>
      <c r="N11" s="15">
        <v>3.13</v>
      </c>
      <c r="O11" s="15">
        <v>3.06</v>
      </c>
      <c r="P11" s="15">
        <v>3.04</v>
      </c>
      <c r="Q11" s="15">
        <v>0.53</v>
      </c>
      <c r="R11" s="15">
        <v>0.51</v>
      </c>
      <c r="S11" s="16">
        <v>0.52</v>
      </c>
      <c r="T11" s="16">
        <v>0.53</v>
      </c>
      <c r="U11" s="16">
        <v>0.53</v>
      </c>
      <c r="V11" s="16">
        <v>0.51</v>
      </c>
      <c r="W11" s="15">
        <v>3.13</v>
      </c>
      <c r="X11" s="15">
        <v>78.25</v>
      </c>
      <c r="Y11" s="15">
        <f t="shared" si="0"/>
        <v>-2.7073076923076655</v>
      </c>
      <c r="Z11" s="17" t="str">
        <f t="shared" si="1"/>
        <v>Negatif</v>
      </c>
      <c r="AA11" s="18" t="str">
        <f t="shared" si="2"/>
        <v>Rendah</v>
      </c>
      <c r="AB11" s="19" t="str">
        <f t="shared" si="3"/>
        <v>Kuadran I - Prioritas Utama</v>
      </c>
    </row>
    <row r="12" spans="1:28" x14ac:dyDescent="0.25">
      <c r="A12" s="1" t="s">
        <v>33</v>
      </c>
      <c r="B12" s="15">
        <v>3.03</v>
      </c>
      <c r="C12" s="15">
        <v>3.3</v>
      </c>
      <c r="D12" s="15">
        <v>3.19</v>
      </c>
      <c r="E12" s="15">
        <v>3.21</v>
      </c>
      <c r="F12" s="15">
        <v>3.22</v>
      </c>
      <c r="G12" s="15">
        <v>3.18</v>
      </c>
      <c r="H12" s="15">
        <v>3.16</v>
      </c>
      <c r="I12" s="15">
        <v>3.14</v>
      </c>
      <c r="J12" s="15">
        <v>3.15</v>
      </c>
      <c r="K12" s="15">
        <v>3.17</v>
      </c>
      <c r="L12" s="15">
        <v>3.11</v>
      </c>
      <c r="M12" s="15">
        <v>3.12</v>
      </c>
      <c r="N12" s="15">
        <v>3.1</v>
      </c>
      <c r="O12" s="15">
        <v>3.12</v>
      </c>
      <c r="P12" s="15">
        <v>3.07</v>
      </c>
      <c r="Q12" s="15">
        <v>0.53</v>
      </c>
      <c r="R12" s="15">
        <v>0.52</v>
      </c>
      <c r="S12" s="16">
        <v>0.52</v>
      </c>
      <c r="T12" s="16">
        <v>0.53</v>
      </c>
      <c r="U12" s="16">
        <v>0.53</v>
      </c>
      <c r="V12" s="16">
        <v>0.53</v>
      </c>
      <c r="W12" s="15">
        <v>3.16</v>
      </c>
      <c r="X12" s="15">
        <v>78.959999999999994</v>
      </c>
      <c r="Y12" s="15">
        <f t="shared" si="0"/>
        <v>-1.9973076923076718</v>
      </c>
      <c r="Z12" s="17" t="str">
        <f t="shared" si="1"/>
        <v>Negatif</v>
      </c>
      <c r="AA12" s="18" t="str">
        <f t="shared" si="2"/>
        <v>Rendah</v>
      </c>
      <c r="AB12" s="19" t="str">
        <f t="shared" si="3"/>
        <v>Kuadran I - Prioritas Utama</v>
      </c>
    </row>
    <row r="13" spans="1:28" x14ac:dyDescent="0.25">
      <c r="A13" s="1" t="s">
        <v>34</v>
      </c>
      <c r="B13" s="15">
        <v>3.06</v>
      </c>
      <c r="C13" s="15">
        <v>3.02</v>
      </c>
      <c r="D13" s="15">
        <v>3.04</v>
      </c>
      <c r="E13" s="15">
        <v>3.05</v>
      </c>
      <c r="F13" s="15">
        <v>3.13</v>
      </c>
      <c r="G13" s="15">
        <v>3.06</v>
      </c>
      <c r="H13" s="15">
        <v>3.12</v>
      </c>
      <c r="I13" s="15">
        <v>3.09</v>
      </c>
      <c r="J13" s="15">
        <v>3.07</v>
      </c>
      <c r="K13" s="15">
        <v>3.1</v>
      </c>
      <c r="L13" s="15">
        <v>3.1</v>
      </c>
      <c r="M13" s="15">
        <v>3.04</v>
      </c>
      <c r="N13" s="15">
        <v>3.01</v>
      </c>
      <c r="O13" s="15">
        <v>3.02</v>
      </c>
      <c r="P13" s="15">
        <v>3.03</v>
      </c>
      <c r="Q13" s="15">
        <v>0.52</v>
      </c>
      <c r="R13" s="15">
        <v>0.5</v>
      </c>
      <c r="S13" s="16">
        <v>0.51</v>
      </c>
      <c r="T13" s="16">
        <v>0.52</v>
      </c>
      <c r="U13" s="16">
        <v>0.51</v>
      </c>
      <c r="V13" s="16">
        <v>0.51</v>
      </c>
      <c r="W13" s="15">
        <v>3.06</v>
      </c>
      <c r="X13" s="15">
        <v>76.53</v>
      </c>
      <c r="Y13" s="15">
        <f t="shared" si="0"/>
        <v>-4.4273076923076644</v>
      </c>
      <c r="Z13" s="17" t="str">
        <f t="shared" si="1"/>
        <v>Negatif</v>
      </c>
      <c r="AA13" s="18" t="str">
        <f t="shared" si="2"/>
        <v>Rendah</v>
      </c>
      <c r="AB13" s="19" t="str">
        <f t="shared" si="3"/>
        <v>Kuadran I - Prioritas Utama</v>
      </c>
    </row>
    <row r="14" spans="1:28" x14ac:dyDescent="0.25">
      <c r="A14" s="1" t="s">
        <v>35</v>
      </c>
      <c r="B14" s="15">
        <v>3</v>
      </c>
      <c r="C14" s="15">
        <v>3.01</v>
      </c>
      <c r="D14" s="15">
        <v>3.04</v>
      </c>
      <c r="E14" s="15">
        <v>3.11</v>
      </c>
      <c r="F14" s="15">
        <v>3.06</v>
      </c>
      <c r="G14" s="15">
        <v>3.02</v>
      </c>
      <c r="H14" s="15">
        <v>3.38</v>
      </c>
      <c r="I14" s="15">
        <v>3.36</v>
      </c>
      <c r="J14" s="15">
        <v>3.03</v>
      </c>
      <c r="K14" s="15">
        <v>2.98</v>
      </c>
      <c r="L14" s="15">
        <v>3.07</v>
      </c>
      <c r="M14" s="15">
        <v>3.12</v>
      </c>
      <c r="N14" s="15">
        <v>3.09</v>
      </c>
      <c r="O14" s="15">
        <v>3.06</v>
      </c>
      <c r="P14" s="15">
        <v>3</v>
      </c>
      <c r="Q14" s="15">
        <v>0.51</v>
      </c>
      <c r="R14" s="15">
        <v>0.51</v>
      </c>
      <c r="S14" s="16">
        <v>0.51</v>
      </c>
      <c r="T14" s="16">
        <v>0.56000000000000005</v>
      </c>
      <c r="U14" s="16">
        <v>0.51</v>
      </c>
      <c r="V14" s="16">
        <v>0.5</v>
      </c>
      <c r="W14" s="15">
        <v>3.1</v>
      </c>
      <c r="X14" s="15">
        <v>77.45</v>
      </c>
      <c r="Y14" s="15">
        <f t="shared" si="0"/>
        <v>-3.5073076923076627</v>
      </c>
      <c r="Z14" s="17" t="str">
        <f t="shared" si="1"/>
        <v>Negatif</v>
      </c>
      <c r="AA14" s="18" t="str">
        <f t="shared" si="2"/>
        <v>Rendah</v>
      </c>
      <c r="AB14" s="19" t="str">
        <f t="shared" si="3"/>
        <v>Kuadran I - Prioritas Utama</v>
      </c>
    </row>
    <row r="15" spans="1:28" x14ac:dyDescent="0.25">
      <c r="A15" s="1" t="s">
        <v>36</v>
      </c>
      <c r="B15" s="15">
        <v>3.09</v>
      </c>
      <c r="C15" s="15">
        <v>3.24</v>
      </c>
      <c r="D15" s="15">
        <v>3.22</v>
      </c>
      <c r="E15" s="15">
        <v>3.28</v>
      </c>
      <c r="F15" s="15">
        <v>3.2</v>
      </c>
      <c r="G15" s="15">
        <v>3.25</v>
      </c>
      <c r="H15" s="15">
        <v>3.18</v>
      </c>
      <c r="I15" s="15">
        <v>3.17</v>
      </c>
      <c r="J15" s="15">
        <v>3.19</v>
      </c>
      <c r="K15" s="15">
        <v>3.19</v>
      </c>
      <c r="L15" s="15">
        <v>3.15</v>
      </c>
      <c r="M15" s="15">
        <v>3.13</v>
      </c>
      <c r="N15" s="15">
        <v>3.16</v>
      </c>
      <c r="O15" s="15">
        <v>3.1</v>
      </c>
      <c r="P15" s="15">
        <v>3.11</v>
      </c>
      <c r="Q15" s="15">
        <v>0.54</v>
      </c>
      <c r="R15" s="15">
        <v>0.52</v>
      </c>
      <c r="S15" s="16">
        <v>0.53</v>
      </c>
      <c r="T15" s="16">
        <v>0.53</v>
      </c>
      <c r="U15" s="16">
        <v>0.54</v>
      </c>
      <c r="V15" s="16">
        <v>0.53</v>
      </c>
      <c r="W15" s="15">
        <v>3.18</v>
      </c>
      <c r="X15" s="15">
        <v>79.59</v>
      </c>
      <c r="Y15" s="15">
        <f t="shared" si="0"/>
        <v>-1.3673076923076621</v>
      </c>
      <c r="Z15" s="17" t="str">
        <f t="shared" si="1"/>
        <v>Negatif</v>
      </c>
      <c r="AA15" s="18" t="str">
        <f t="shared" si="2"/>
        <v>Rendah</v>
      </c>
      <c r="AB15" s="19" t="str">
        <f t="shared" si="3"/>
        <v>Kuadran I - Prioritas Utama</v>
      </c>
    </row>
    <row r="16" spans="1:28" x14ac:dyDescent="0.25">
      <c r="A16" s="1" t="s">
        <v>37</v>
      </c>
      <c r="B16" s="15">
        <v>3.99</v>
      </c>
      <c r="C16" s="15">
        <v>3</v>
      </c>
      <c r="D16" s="15">
        <v>3.99</v>
      </c>
      <c r="E16" s="15">
        <v>3.15</v>
      </c>
      <c r="F16" s="15">
        <v>4</v>
      </c>
      <c r="G16" s="15">
        <v>3.15</v>
      </c>
      <c r="H16" s="15">
        <v>3.15</v>
      </c>
      <c r="I16" s="15">
        <v>3.15</v>
      </c>
      <c r="J16" s="15">
        <v>3.15</v>
      </c>
      <c r="K16" s="15">
        <v>3.99</v>
      </c>
      <c r="L16" s="15">
        <v>4</v>
      </c>
      <c r="M16" s="15">
        <v>3.99</v>
      </c>
      <c r="N16" s="15">
        <v>3.99</v>
      </c>
      <c r="O16" s="15">
        <v>4</v>
      </c>
      <c r="P16" s="15">
        <v>3.99</v>
      </c>
      <c r="Q16" s="15">
        <v>0.6</v>
      </c>
      <c r="R16" s="15">
        <v>0.67</v>
      </c>
      <c r="S16" s="16">
        <v>0.63</v>
      </c>
      <c r="T16" s="16">
        <v>0.53</v>
      </c>
      <c r="U16" s="16">
        <v>0.59</v>
      </c>
      <c r="V16" s="16">
        <v>0.57999999999999996</v>
      </c>
      <c r="W16" s="15">
        <v>3.59</v>
      </c>
      <c r="X16" s="15">
        <v>89.85</v>
      </c>
      <c r="Y16" s="15">
        <f t="shared" si="0"/>
        <v>8.8926923076923288</v>
      </c>
      <c r="Z16" s="17" t="str">
        <f t="shared" si="1"/>
        <v>Positif</v>
      </c>
      <c r="AA16" s="18" t="str">
        <f t="shared" si="2"/>
        <v>Tinggi</v>
      </c>
      <c r="AB16" s="19" t="str">
        <f t="shared" si="3"/>
        <v>Kuadran II - Pertahankan</v>
      </c>
    </row>
    <row r="17" spans="1:28" x14ac:dyDescent="0.25">
      <c r="A17" s="1" t="s">
        <v>38</v>
      </c>
      <c r="B17" s="15">
        <v>3.09</v>
      </c>
      <c r="C17" s="15">
        <v>3.54</v>
      </c>
      <c r="D17" s="15">
        <v>3.65</v>
      </c>
      <c r="E17" s="15">
        <v>3.21</v>
      </c>
      <c r="F17" s="15">
        <v>3.2</v>
      </c>
      <c r="G17" s="15">
        <v>3.36</v>
      </c>
      <c r="H17" s="15">
        <v>3.03</v>
      </c>
      <c r="I17" s="15">
        <v>2.87</v>
      </c>
      <c r="J17" s="15">
        <v>3.08</v>
      </c>
      <c r="K17" s="15">
        <v>3.03</v>
      </c>
      <c r="L17" s="15">
        <v>2.84</v>
      </c>
      <c r="M17" s="15">
        <v>3.02</v>
      </c>
      <c r="N17" s="15">
        <v>3.07</v>
      </c>
      <c r="O17" s="15">
        <v>3.36</v>
      </c>
      <c r="P17" s="15">
        <v>3.04</v>
      </c>
      <c r="Q17" s="15">
        <v>0.55000000000000004</v>
      </c>
      <c r="R17" s="15">
        <v>0.53</v>
      </c>
      <c r="S17" s="16">
        <v>0.5</v>
      </c>
      <c r="T17" s="16">
        <v>0.49</v>
      </c>
      <c r="U17" s="16">
        <v>0.56999999999999995</v>
      </c>
      <c r="V17" s="16">
        <v>0.55000000000000004</v>
      </c>
      <c r="W17" s="15">
        <v>3.19</v>
      </c>
      <c r="X17" s="15">
        <v>79.680000000000007</v>
      </c>
      <c r="Y17" s="15">
        <f t="shared" si="0"/>
        <v>-1.2773076923076587</v>
      </c>
      <c r="Z17" s="17" t="str">
        <f t="shared" si="1"/>
        <v>Negatif</v>
      </c>
      <c r="AA17" s="18" t="str">
        <f t="shared" si="2"/>
        <v>Rendah</v>
      </c>
      <c r="AB17" s="19" t="str">
        <f t="shared" si="3"/>
        <v>Kuadran I - Prioritas Utama</v>
      </c>
    </row>
    <row r="18" spans="1:28" x14ac:dyDescent="0.25">
      <c r="A18" s="1" t="s">
        <v>39</v>
      </c>
      <c r="B18" s="15">
        <v>3.06</v>
      </c>
      <c r="C18" s="15">
        <v>3.47</v>
      </c>
      <c r="D18" s="15">
        <v>3.26</v>
      </c>
      <c r="E18" s="15">
        <v>3.17</v>
      </c>
      <c r="F18" s="15">
        <v>3.1</v>
      </c>
      <c r="G18" s="15">
        <v>3.1</v>
      </c>
      <c r="H18" s="15">
        <v>3.1</v>
      </c>
      <c r="I18" s="15">
        <v>3.12</v>
      </c>
      <c r="J18" s="15">
        <v>3.1</v>
      </c>
      <c r="K18" s="15">
        <v>3.09</v>
      </c>
      <c r="L18" s="15">
        <v>3.13</v>
      </c>
      <c r="M18" s="15">
        <v>3.08</v>
      </c>
      <c r="N18" s="15">
        <v>3.06</v>
      </c>
      <c r="O18" s="15">
        <v>3.1</v>
      </c>
      <c r="P18" s="15">
        <v>3.11</v>
      </c>
      <c r="Q18" s="15">
        <v>0.52</v>
      </c>
      <c r="R18" s="15">
        <v>0.51</v>
      </c>
      <c r="S18" s="16">
        <v>0.52</v>
      </c>
      <c r="T18" s="16">
        <v>0.52</v>
      </c>
      <c r="U18" s="16">
        <v>0.54</v>
      </c>
      <c r="V18" s="16">
        <v>0.54</v>
      </c>
      <c r="W18" s="15">
        <v>3.15</v>
      </c>
      <c r="X18" s="15">
        <v>78.66</v>
      </c>
      <c r="Y18" s="15">
        <f t="shared" si="0"/>
        <v>-2.297307692307669</v>
      </c>
      <c r="Z18" s="17" t="str">
        <f t="shared" si="1"/>
        <v>Negatif</v>
      </c>
      <c r="AA18" s="18" t="str">
        <f t="shared" si="2"/>
        <v>Rendah</v>
      </c>
      <c r="AB18" s="19" t="str">
        <f t="shared" si="3"/>
        <v>Kuadran I - Prioritas Utama</v>
      </c>
    </row>
    <row r="19" spans="1:28" x14ac:dyDescent="0.25">
      <c r="A19" s="1" t="s">
        <v>40</v>
      </c>
      <c r="B19" s="15">
        <v>3.22</v>
      </c>
      <c r="C19" s="15">
        <v>3.49</v>
      </c>
      <c r="D19" s="15">
        <v>3.7</v>
      </c>
      <c r="E19" s="15">
        <v>3.06</v>
      </c>
      <c r="F19" s="15">
        <v>3.08</v>
      </c>
      <c r="G19" s="15">
        <v>3.68</v>
      </c>
      <c r="H19" s="15">
        <v>2.9</v>
      </c>
      <c r="I19" s="15">
        <v>2.5299999999999998</v>
      </c>
      <c r="J19" s="15">
        <v>2.98</v>
      </c>
      <c r="K19" s="15">
        <v>3.29</v>
      </c>
      <c r="L19" s="15">
        <v>2.6</v>
      </c>
      <c r="M19" s="15">
        <v>3.11</v>
      </c>
      <c r="N19" s="15">
        <v>3.19</v>
      </c>
      <c r="O19" s="15">
        <v>3.66</v>
      </c>
      <c r="P19" s="15">
        <v>3</v>
      </c>
      <c r="Q19" s="15">
        <v>0.56000000000000005</v>
      </c>
      <c r="R19" s="15">
        <v>0.55000000000000004</v>
      </c>
      <c r="S19" s="16">
        <v>0.5</v>
      </c>
      <c r="T19" s="16">
        <v>0.45</v>
      </c>
      <c r="U19" s="16">
        <v>0.56000000000000005</v>
      </c>
      <c r="V19" s="16">
        <v>0.56000000000000005</v>
      </c>
      <c r="W19" s="15">
        <v>3.18</v>
      </c>
      <c r="X19" s="15">
        <v>79.599999999999994</v>
      </c>
      <c r="Y19" s="15">
        <f t="shared" si="0"/>
        <v>-1.3573076923076712</v>
      </c>
      <c r="Z19" s="17" t="str">
        <f t="shared" si="1"/>
        <v>Negatif</v>
      </c>
      <c r="AA19" s="18" t="str">
        <f t="shared" si="2"/>
        <v>Rendah</v>
      </c>
      <c r="AB19" s="19" t="str">
        <f t="shared" si="3"/>
        <v>Kuadran I - Prioritas Utama</v>
      </c>
    </row>
    <row r="20" spans="1:28" x14ac:dyDescent="0.25">
      <c r="A20" s="1" t="s">
        <v>41</v>
      </c>
      <c r="B20" s="15">
        <v>3.04</v>
      </c>
      <c r="C20" s="15">
        <v>3.08</v>
      </c>
      <c r="D20" s="15">
        <v>3.23</v>
      </c>
      <c r="E20" s="15">
        <v>3.2</v>
      </c>
      <c r="F20" s="15">
        <v>3.2</v>
      </c>
      <c r="G20" s="15">
        <v>3.16</v>
      </c>
      <c r="H20" s="15">
        <v>3.12</v>
      </c>
      <c r="I20" s="15">
        <v>3.07</v>
      </c>
      <c r="J20" s="15">
        <v>3.15</v>
      </c>
      <c r="K20" s="15">
        <v>3.07</v>
      </c>
      <c r="L20" s="15">
        <v>3.07</v>
      </c>
      <c r="M20" s="15">
        <v>3.1</v>
      </c>
      <c r="N20" s="15">
        <v>3.07</v>
      </c>
      <c r="O20" s="15">
        <v>3.07</v>
      </c>
      <c r="P20" s="15">
        <v>3.16</v>
      </c>
      <c r="Q20" s="15">
        <v>0.53</v>
      </c>
      <c r="R20" s="15">
        <v>0.52</v>
      </c>
      <c r="S20" s="16">
        <v>0.52</v>
      </c>
      <c r="T20" s="16">
        <v>0.52</v>
      </c>
      <c r="U20" s="16">
        <v>0.54</v>
      </c>
      <c r="V20" s="16">
        <v>0.51</v>
      </c>
      <c r="W20" s="15">
        <v>3.12</v>
      </c>
      <c r="X20" s="15">
        <v>78.09</v>
      </c>
      <c r="Y20" s="15">
        <f t="shared" si="0"/>
        <v>-2.8673076923076621</v>
      </c>
      <c r="Z20" s="17" t="str">
        <f t="shared" si="1"/>
        <v>Negatif</v>
      </c>
      <c r="AA20" s="18" t="str">
        <f t="shared" si="2"/>
        <v>Rendah</v>
      </c>
      <c r="AB20" s="19" t="str">
        <f t="shared" si="3"/>
        <v>Kuadran I - Prioritas Utama</v>
      </c>
    </row>
    <row r="21" spans="1:28" x14ac:dyDescent="0.25">
      <c r="A21" s="1" t="s">
        <v>42</v>
      </c>
      <c r="B21" s="15">
        <v>3.2</v>
      </c>
      <c r="C21" s="15">
        <v>3.4</v>
      </c>
      <c r="D21" s="15">
        <v>3.66</v>
      </c>
      <c r="E21" s="15">
        <v>3.1</v>
      </c>
      <c r="F21" s="15">
        <v>3.02</v>
      </c>
      <c r="G21" s="15">
        <v>3.46</v>
      </c>
      <c r="H21" s="15">
        <v>3.08</v>
      </c>
      <c r="I21" s="15">
        <v>2.99</v>
      </c>
      <c r="J21" s="15">
        <v>3</v>
      </c>
      <c r="K21" s="15">
        <v>3.45</v>
      </c>
      <c r="L21" s="15">
        <v>2.95</v>
      </c>
      <c r="M21" s="15">
        <v>3.11</v>
      </c>
      <c r="N21" s="15">
        <v>3.42</v>
      </c>
      <c r="O21" s="15">
        <v>3.69</v>
      </c>
      <c r="P21" s="15">
        <v>3.18</v>
      </c>
      <c r="Q21" s="15">
        <v>0.54</v>
      </c>
      <c r="R21" s="15">
        <v>0.56999999999999995</v>
      </c>
      <c r="S21" s="16">
        <v>0.52</v>
      </c>
      <c r="T21" s="16">
        <v>0.51</v>
      </c>
      <c r="U21" s="16">
        <v>0.56000000000000005</v>
      </c>
      <c r="V21" s="16">
        <v>0.55000000000000004</v>
      </c>
      <c r="W21" s="15">
        <v>3.25</v>
      </c>
      <c r="X21" s="15">
        <v>81.33</v>
      </c>
      <c r="Y21" s="15">
        <f t="shared" si="0"/>
        <v>0.37269230769233275</v>
      </c>
      <c r="Z21" s="17" t="str">
        <f t="shared" si="1"/>
        <v>Positif</v>
      </c>
      <c r="AA21" s="18" t="str">
        <f t="shared" si="2"/>
        <v>Tinggi</v>
      </c>
      <c r="AB21" s="19" t="str">
        <f t="shared" si="3"/>
        <v>Kuadran II - Pertahankan</v>
      </c>
    </row>
    <row r="22" spans="1:28" x14ac:dyDescent="0.25">
      <c r="A22" s="1" t="s">
        <v>43</v>
      </c>
      <c r="B22" s="15">
        <v>4</v>
      </c>
      <c r="C22" s="15">
        <v>3.78</v>
      </c>
      <c r="D22" s="15">
        <v>4</v>
      </c>
      <c r="E22" s="15">
        <v>4</v>
      </c>
      <c r="F22" s="15">
        <v>4</v>
      </c>
      <c r="G22" s="15">
        <v>4</v>
      </c>
      <c r="H22" s="15">
        <v>3.98</v>
      </c>
      <c r="I22" s="15">
        <v>3.98</v>
      </c>
      <c r="J22" s="15">
        <v>4</v>
      </c>
      <c r="K22" s="15">
        <v>3.98</v>
      </c>
      <c r="L22" s="15">
        <v>3.98</v>
      </c>
      <c r="M22" s="15">
        <v>4</v>
      </c>
      <c r="N22" s="15">
        <v>4</v>
      </c>
      <c r="O22" s="15">
        <v>3.99</v>
      </c>
      <c r="P22" s="15">
        <v>4</v>
      </c>
      <c r="Q22" s="15">
        <v>0.67</v>
      </c>
      <c r="R22" s="15">
        <v>0.67</v>
      </c>
      <c r="S22" s="16">
        <v>0.66</v>
      </c>
      <c r="T22" s="16">
        <v>0.66</v>
      </c>
      <c r="U22" s="16">
        <v>0.67</v>
      </c>
      <c r="V22" s="16">
        <v>0.65</v>
      </c>
      <c r="W22" s="15">
        <v>3.98</v>
      </c>
      <c r="X22" s="15">
        <v>99.39</v>
      </c>
      <c r="Y22" s="15">
        <f t="shared" si="0"/>
        <v>18.432692307692335</v>
      </c>
      <c r="Z22" s="17" t="str">
        <f t="shared" si="1"/>
        <v>Positif</v>
      </c>
      <c r="AA22" s="18" t="str">
        <f t="shared" si="2"/>
        <v>Tinggi</v>
      </c>
      <c r="AB22" s="19" t="str">
        <f t="shared" si="3"/>
        <v>Kuadran II - Pertahankan</v>
      </c>
    </row>
    <row r="23" spans="1:28" x14ac:dyDescent="0.25">
      <c r="A23" s="1" t="s">
        <v>44</v>
      </c>
      <c r="B23" s="15">
        <v>3.02</v>
      </c>
      <c r="C23" s="15">
        <v>3.07</v>
      </c>
      <c r="D23" s="15">
        <v>3.09</v>
      </c>
      <c r="E23" s="15">
        <v>3.06</v>
      </c>
      <c r="F23" s="15">
        <v>3.05</v>
      </c>
      <c r="G23" s="15">
        <v>3.12</v>
      </c>
      <c r="H23" s="15">
        <v>3.12</v>
      </c>
      <c r="I23" s="15">
        <v>3.13</v>
      </c>
      <c r="J23" s="15">
        <v>3.04</v>
      </c>
      <c r="K23" s="15">
        <v>3.08</v>
      </c>
      <c r="L23" s="15">
        <v>3.16</v>
      </c>
      <c r="M23" s="15">
        <v>3.11</v>
      </c>
      <c r="N23" s="15">
        <v>3.09</v>
      </c>
      <c r="O23" s="15">
        <v>3.1</v>
      </c>
      <c r="P23" s="15">
        <v>3.02</v>
      </c>
      <c r="Q23" s="15">
        <v>0.51</v>
      </c>
      <c r="R23" s="15">
        <v>0.51</v>
      </c>
      <c r="S23" s="16">
        <v>0.52</v>
      </c>
      <c r="T23" s="16">
        <v>0.52</v>
      </c>
      <c r="U23" s="16">
        <v>0.51</v>
      </c>
      <c r="V23" s="16">
        <v>0.51</v>
      </c>
      <c r="W23" s="15">
        <v>3.08</v>
      </c>
      <c r="X23" s="15">
        <v>77.08</v>
      </c>
      <c r="Y23" s="15">
        <f t="shared" si="0"/>
        <v>-3.8773076923076673</v>
      </c>
      <c r="Z23" s="17" t="str">
        <f t="shared" si="1"/>
        <v>Negatif</v>
      </c>
      <c r="AA23" s="18" t="str">
        <f t="shared" si="2"/>
        <v>Rendah</v>
      </c>
      <c r="AB23" s="19" t="str">
        <f t="shared" si="3"/>
        <v>Kuadran I - Prioritas Utama</v>
      </c>
    </row>
    <row r="24" spans="1:28" x14ac:dyDescent="0.25">
      <c r="A24" s="1" t="s">
        <v>45</v>
      </c>
      <c r="B24" s="15">
        <v>3.15</v>
      </c>
      <c r="C24" s="15">
        <v>3.38</v>
      </c>
      <c r="D24" s="15">
        <v>3.71</v>
      </c>
      <c r="E24" s="15">
        <v>3.02</v>
      </c>
      <c r="F24" s="15">
        <v>3</v>
      </c>
      <c r="G24" s="15">
        <v>3.52</v>
      </c>
      <c r="H24" s="15">
        <v>3.1</v>
      </c>
      <c r="I24" s="15">
        <v>2.97</v>
      </c>
      <c r="J24" s="15">
        <v>3</v>
      </c>
      <c r="K24" s="15">
        <v>3.65</v>
      </c>
      <c r="L24" s="15">
        <v>3</v>
      </c>
      <c r="M24" s="15">
        <v>3.04</v>
      </c>
      <c r="N24" s="15">
        <v>3.46</v>
      </c>
      <c r="O24" s="15">
        <v>3.72</v>
      </c>
      <c r="P24" s="15">
        <v>3.11</v>
      </c>
      <c r="Q24" s="15">
        <v>0.54</v>
      </c>
      <c r="R24" s="15">
        <v>0.56999999999999995</v>
      </c>
      <c r="S24" s="16">
        <v>0.53</v>
      </c>
      <c r="T24" s="16">
        <v>0.51</v>
      </c>
      <c r="U24" s="16">
        <v>0.56000000000000005</v>
      </c>
      <c r="V24" s="16">
        <v>0.54</v>
      </c>
      <c r="W24" s="15">
        <v>3.25</v>
      </c>
      <c r="X24" s="15">
        <v>81.36</v>
      </c>
      <c r="Y24" s="15">
        <f t="shared" si="0"/>
        <v>0.40269230769233388</v>
      </c>
      <c r="Z24" s="17" t="str">
        <f t="shared" si="1"/>
        <v>Positif</v>
      </c>
      <c r="AA24" s="18" t="str">
        <f t="shared" si="2"/>
        <v>Tinggi</v>
      </c>
      <c r="AB24" s="19" t="str">
        <f t="shared" si="3"/>
        <v>Kuadran II - Pertahankan</v>
      </c>
    </row>
    <row r="25" spans="1:28" x14ac:dyDescent="0.25">
      <c r="A25" s="1" t="s">
        <v>46</v>
      </c>
      <c r="B25" s="15">
        <v>2.91</v>
      </c>
      <c r="C25" s="15">
        <v>3.15</v>
      </c>
      <c r="D25" s="15">
        <v>3.32</v>
      </c>
      <c r="E25" s="15">
        <v>2.9</v>
      </c>
      <c r="F25" s="15">
        <v>2.96</v>
      </c>
      <c r="G25" s="15">
        <v>3</v>
      </c>
      <c r="H25" s="15">
        <v>3.17</v>
      </c>
      <c r="I25" s="15">
        <v>3.24</v>
      </c>
      <c r="J25" s="15">
        <v>2.92</v>
      </c>
      <c r="K25" s="15">
        <v>2.97</v>
      </c>
      <c r="L25" s="15">
        <v>2.42</v>
      </c>
      <c r="M25" s="15">
        <v>2.97</v>
      </c>
      <c r="N25" s="15">
        <v>3</v>
      </c>
      <c r="O25" s="15">
        <v>3.22</v>
      </c>
      <c r="P25" s="15">
        <v>2.99</v>
      </c>
      <c r="Q25" s="15">
        <v>0.5</v>
      </c>
      <c r="R25" s="15">
        <v>0.51</v>
      </c>
      <c r="S25" s="16">
        <v>0.47</v>
      </c>
      <c r="T25" s="16">
        <v>0.53</v>
      </c>
      <c r="U25" s="16">
        <v>0.52</v>
      </c>
      <c r="V25" s="16">
        <v>0.5</v>
      </c>
      <c r="W25" s="15">
        <v>3.03</v>
      </c>
      <c r="X25" s="15">
        <v>75.849999999999994</v>
      </c>
      <c r="Y25" s="15">
        <f t="shared" si="0"/>
        <v>-5.1073076923076712</v>
      </c>
      <c r="Z25" s="17" t="str">
        <f t="shared" si="1"/>
        <v>Negatif</v>
      </c>
      <c r="AA25" s="18" t="str">
        <f t="shared" si="2"/>
        <v>Rendah</v>
      </c>
      <c r="AB25" s="19" t="str">
        <f t="shared" si="3"/>
        <v>Kuadran I - Prioritas Utama</v>
      </c>
    </row>
    <row r="26" spans="1:28" x14ac:dyDescent="0.25">
      <c r="A26" s="1" t="s">
        <v>47</v>
      </c>
      <c r="B26" s="15">
        <v>3.53</v>
      </c>
      <c r="C26" s="15">
        <v>3.69</v>
      </c>
      <c r="D26" s="15">
        <v>3.82</v>
      </c>
      <c r="E26" s="15">
        <v>3</v>
      </c>
      <c r="F26" s="15">
        <v>3.03</v>
      </c>
      <c r="G26" s="15">
        <v>3.47</v>
      </c>
      <c r="H26" s="15">
        <v>3.06</v>
      </c>
      <c r="I26" s="15">
        <v>3.07</v>
      </c>
      <c r="J26" s="15">
        <v>3</v>
      </c>
      <c r="K26" s="15">
        <v>3.35</v>
      </c>
      <c r="L26" s="15">
        <v>2.99</v>
      </c>
      <c r="M26" s="15">
        <v>3.16</v>
      </c>
      <c r="N26" s="15">
        <v>3.5</v>
      </c>
      <c r="O26" s="15">
        <v>3.65</v>
      </c>
      <c r="P26" s="15">
        <v>3.29</v>
      </c>
      <c r="Q26" s="15">
        <v>0.54</v>
      </c>
      <c r="R26" s="15">
        <v>0.57999999999999996</v>
      </c>
      <c r="S26" s="16">
        <v>0.52</v>
      </c>
      <c r="T26" s="16">
        <v>0.51</v>
      </c>
      <c r="U26" s="16">
        <v>0.56999999999999995</v>
      </c>
      <c r="V26" s="16">
        <v>0.6</v>
      </c>
      <c r="W26" s="15">
        <v>3.32</v>
      </c>
      <c r="X26" s="15">
        <v>83.07</v>
      </c>
      <c r="Y26" s="15">
        <f t="shared" si="0"/>
        <v>2.1126923076923276</v>
      </c>
      <c r="Z26" s="17" t="str">
        <f t="shared" si="1"/>
        <v>Positif</v>
      </c>
      <c r="AA26" s="18" t="str">
        <f t="shared" si="2"/>
        <v>Tinggi</v>
      </c>
      <c r="AB26" s="19" t="str">
        <f t="shared" si="3"/>
        <v>Kuadran II - Pertahankan</v>
      </c>
    </row>
    <row r="27" spans="1:28" x14ac:dyDescent="0.25">
      <c r="A27" s="1" t="s">
        <v>48</v>
      </c>
      <c r="B27" s="15">
        <v>3.96</v>
      </c>
      <c r="C27" s="15">
        <v>3.59</v>
      </c>
      <c r="D27" s="15">
        <v>3.96</v>
      </c>
      <c r="E27" s="15">
        <v>3.94</v>
      </c>
      <c r="F27" s="15">
        <v>3.88</v>
      </c>
      <c r="G27" s="15">
        <v>3.87</v>
      </c>
      <c r="H27" s="15">
        <v>3.82</v>
      </c>
      <c r="I27" s="15">
        <v>3.78</v>
      </c>
      <c r="J27" s="15">
        <v>3.92</v>
      </c>
      <c r="K27" s="15">
        <v>3.8</v>
      </c>
      <c r="L27" s="15">
        <v>3.9</v>
      </c>
      <c r="M27" s="15">
        <v>3.98</v>
      </c>
      <c r="N27" s="15">
        <v>3.98</v>
      </c>
      <c r="O27" s="15">
        <v>3.98</v>
      </c>
      <c r="P27" s="15">
        <v>3.98</v>
      </c>
      <c r="Q27" s="15">
        <v>0.65</v>
      </c>
      <c r="R27" s="15">
        <v>0.66</v>
      </c>
      <c r="S27" s="16">
        <v>0.65</v>
      </c>
      <c r="T27" s="16">
        <v>0.63</v>
      </c>
      <c r="U27" s="16">
        <v>0.66</v>
      </c>
      <c r="V27" s="16">
        <v>0.63</v>
      </c>
      <c r="W27" s="15">
        <v>3.88</v>
      </c>
      <c r="X27" s="15">
        <v>96.96</v>
      </c>
      <c r="Y27" s="15">
        <f t="shared" si="0"/>
        <v>16.002692307692328</v>
      </c>
      <c r="Z27" s="17" t="str">
        <f t="shared" si="1"/>
        <v>Positif</v>
      </c>
      <c r="AA27" s="18" t="str">
        <f t="shared" si="2"/>
        <v>Tinggi</v>
      </c>
      <c r="AB27" s="19" t="str">
        <f t="shared" si="3"/>
        <v>Kuadran II - Pertahankan</v>
      </c>
    </row>
    <row r="28" spans="1:28" x14ac:dyDescent="0.25">
      <c r="A28" s="1" t="s">
        <v>49</v>
      </c>
      <c r="B28" s="15">
        <v>3.03</v>
      </c>
      <c r="C28" s="15">
        <v>3.52</v>
      </c>
      <c r="D28" s="15">
        <v>3.14</v>
      </c>
      <c r="E28" s="15">
        <v>3.15</v>
      </c>
      <c r="F28" s="15">
        <v>3.19</v>
      </c>
      <c r="G28" s="15">
        <v>3.11</v>
      </c>
      <c r="H28" s="15">
        <v>3</v>
      </c>
      <c r="I28" s="15">
        <v>3.09</v>
      </c>
      <c r="J28" s="15">
        <v>3.12</v>
      </c>
      <c r="K28" s="15">
        <v>3.07</v>
      </c>
      <c r="L28" s="15">
        <v>3.1</v>
      </c>
      <c r="M28" s="15">
        <v>3.13</v>
      </c>
      <c r="N28" s="15">
        <v>3.07</v>
      </c>
      <c r="O28" s="15">
        <v>3.07</v>
      </c>
      <c r="P28" s="15">
        <v>3.16</v>
      </c>
      <c r="Q28" s="15">
        <v>0.53</v>
      </c>
      <c r="R28" s="15">
        <v>0.52</v>
      </c>
      <c r="S28" s="16">
        <v>0.52</v>
      </c>
      <c r="T28" s="16">
        <v>0.51</v>
      </c>
      <c r="U28" s="16">
        <v>0.52</v>
      </c>
      <c r="V28" s="16">
        <v>0.55000000000000004</v>
      </c>
      <c r="W28" s="15">
        <v>3.14</v>
      </c>
      <c r="X28" s="15">
        <v>78.430000000000007</v>
      </c>
      <c r="Y28" s="15">
        <f t="shared" si="0"/>
        <v>-2.5273076923076587</v>
      </c>
      <c r="Z28" s="17" t="str">
        <f t="shared" si="1"/>
        <v>Negatif</v>
      </c>
      <c r="AA28" s="18" t="str">
        <f t="shared" si="2"/>
        <v>Rendah</v>
      </c>
      <c r="AB28" s="19" t="str">
        <f t="shared" si="3"/>
        <v>Kuadran I - Prioritas Utama</v>
      </c>
    </row>
    <row r="29" spans="1:28" x14ac:dyDescent="0.25">
      <c r="B29" s="10"/>
      <c r="C29" s="10"/>
    </row>
    <row r="30" spans="1:28" x14ac:dyDescent="0.25">
      <c r="A30" s="4" t="s">
        <v>50</v>
      </c>
      <c r="B30" s="5">
        <f>AVERAGE(B3:B28)</f>
        <v>3.2407692307692306</v>
      </c>
      <c r="C30" s="5">
        <f t="shared" ref="C30:X30" si="4">AVERAGE(C3:C28)</f>
        <v>3.280384615384615</v>
      </c>
      <c r="D30" s="5">
        <f t="shared" si="4"/>
        <v>3.4715384615384606</v>
      </c>
      <c r="E30" s="5">
        <f t="shared" si="4"/>
        <v>3.1442307692307696</v>
      </c>
      <c r="F30" s="5">
        <f t="shared" si="4"/>
        <v>3.2026923076923075</v>
      </c>
      <c r="G30" s="5">
        <f t="shared" si="4"/>
        <v>3.2534615384615386</v>
      </c>
      <c r="H30" s="5">
        <f t="shared" si="4"/>
        <v>3.2223076923076919</v>
      </c>
      <c r="I30" s="5">
        <f t="shared" si="4"/>
        <v>3.1476923076923073</v>
      </c>
      <c r="J30" s="5">
        <f t="shared" si="4"/>
        <v>3.1096153846153842</v>
      </c>
      <c r="K30" s="5">
        <f t="shared" si="4"/>
        <v>3.2496153846153844</v>
      </c>
      <c r="L30" s="5">
        <f t="shared" si="4"/>
        <v>3.1026923076923074</v>
      </c>
      <c r="M30" s="5">
        <f t="shared" si="4"/>
        <v>3.192307692307693</v>
      </c>
      <c r="N30" s="5">
        <f t="shared" si="4"/>
        <v>3.2496153846153839</v>
      </c>
      <c r="O30" s="5">
        <f t="shared" si="4"/>
        <v>3.3607692307692312</v>
      </c>
      <c r="P30" s="5">
        <f t="shared" si="4"/>
        <v>3.2496153846153844</v>
      </c>
      <c r="Q30" s="5">
        <f t="shared" si="4"/>
        <v>0.53884615384615375</v>
      </c>
      <c r="R30" s="5">
        <f t="shared" si="4"/>
        <v>0.54846153846153833</v>
      </c>
      <c r="S30" s="5">
        <f t="shared" si="4"/>
        <v>0.52769230769230757</v>
      </c>
      <c r="T30" s="5">
        <f t="shared" si="4"/>
        <v>0.53115384615384609</v>
      </c>
      <c r="U30" s="5">
        <f t="shared" si="4"/>
        <v>0.55076923076923079</v>
      </c>
      <c r="V30" s="5">
        <f t="shared" si="4"/>
        <v>0.54307692307692312</v>
      </c>
      <c r="W30" s="5">
        <f t="shared" si="4"/>
        <v>3.2373076923076911</v>
      </c>
      <c r="X30" s="6">
        <f t="shared" si="4"/>
        <v>80.957307692307666</v>
      </c>
    </row>
    <row r="31" spans="1:28" s="3" customFormat="1" ht="30" x14ac:dyDescent="0.25">
      <c r="A31" s="7" t="s">
        <v>52</v>
      </c>
      <c r="B31" s="8">
        <f>B30*95%</f>
        <v>3.078730769230769</v>
      </c>
      <c r="C31" s="8">
        <f t="shared" ref="C31:X31" si="5">C30*95%</f>
        <v>3.116365384615384</v>
      </c>
      <c r="D31" s="8">
        <f t="shared" si="5"/>
        <v>3.2979615384615375</v>
      </c>
      <c r="E31" s="8">
        <f t="shared" si="5"/>
        <v>2.9870192307692309</v>
      </c>
      <c r="F31" s="8">
        <f t="shared" si="5"/>
        <v>3.042557692307692</v>
      </c>
      <c r="G31" s="8">
        <f t="shared" si="5"/>
        <v>3.0907884615384615</v>
      </c>
      <c r="H31" s="8">
        <f t="shared" si="5"/>
        <v>3.0611923076923073</v>
      </c>
      <c r="I31" s="8">
        <f t="shared" si="5"/>
        <v>2.9903076923076917</v>
      </c>
      <c r="J31" s="8">
        <f t="shared" si="5"/>
        <v>2.9541346153846151</v>
      </c>
      <c r="K31" s="8">
        <f t="shared" si="5"/>
        <v>3.0871346153846151</v>
      </c>
      <c r="L31" s="8">
        <f t="shared" si="5"/>
        <v>2.9475576923076918</v>
      </c>
      <c r="M31" s="8">
        <f t="shared" si="5"/>
        <v>3.032692307692308</v>
      </c>
      <c r="N31" s="8">
        <f t="shared" si="5"/>
        <v>3.0871346153846146</v>
      </c>
      <c r="O31" s="8">
        <f t="shared" si="5"/>
        <v>3.1927307692307694</v>
      </c>
      <c r="P31" s="8">
        <f t="shared" si="5"/>
        <v>3.0871346153846151</v>
      </c>
      <c r="Q31" s="8">
        <f t="shared" si="5"/>
        <v>0.51190384615384599</v>
      </c>
      <c r="R31" s="8">
        <f t="shared" si="5"/>
        <v>0.52103846153846134</v>
      </c>
      <c r="S31" s="8">
        <f t="shared" si="5"/>
        <v>0.50130769230769212</v>
      </c>
      <c r="T31" s="8">
        <f t="shared" si="5"/>
        <v>0.50459615384615375</v>
      </c>
      <c r="U31" s="8">
        <f t="shared" si="5"/>
        <v>0.52323076923076928</v>
      </c>
      <c r="V31" s="8">
        <f t="shared" si="5"/>
        <v>0.51592307692307693</v>
      </c>
      <c r="W31" s="8">
        <f t="shared" si="5"/>
        <v>3.0754423076923065</v>
      </c>
      <c r="X31" s="9">
        <f t="shared" si="5"/>
        <v>76.909442307692274</v>
      </c>
    </row>
  </sheetData>
  <mergeCells count="1">
    <mergeCell ref="A1:AB1"/>
  </mergeCells>
  <conditionalFormatting sqref="B3:B28">
    <cfRule type="cellIs" dxfId="14" priority="16" operator="lessThan">
      <formula>$B$31</formula>
    </cfRule>
  </conditionalFormatting>
  <conditionalFormatting sqref="C3:C28">
    <cfRule type="cellIs" dxfId="13" priority="15" operator="lessThan">
      <formula>$C$31</formula>
    </cfRule>
  </conditionalFormatting>
  <conditionalFormatting sqref="D3:D28">
    <cfRule type="cellIs" dxfId="12" priority="14" operator="lessThan">
      <formula>$D$31</formula>
    </cfRule>
  </conditionalFormatting>
  <conditionalFormatting sqref="E3:E28">
    <cfRule type="cellIs" dxfId="11" priority="12" operator="lessThan">
      <formula>$E$31</formula>
    </cfRule>
    <cfRule type="cellIs" priority="13" operator="lessThan">
      <formula>$E$31</formula>
    </cfRule>
  </conditionalFormatting>
  <conditionalFormatting sqref="F3:F28">
    <cfRule type="cellIs" dxfId="10" priority="11" operator="lessThan">
      <formula>$F$31</formula>
    </cfRule>
  </conditionalFormatting>
  <conditionalFormatting sqref="G3:G28">
    <cfRule type="cellIs" dxfId="9" priority="10" operator="lessThan">
      <formula>$G$31</formula>
    </cfRule>
  </conditionalFormatting>
  <conditionalFormatting sqref="H3:H28">
    <cfRule type="cellIs" dxfId="8" priority="9" operator="lessThan">
      <formula>$H$31</formula>
    </cfRule>
  </conditionalFormatting>
  <conditionalFormatting sqref="I3:I28">
    <cfRule type="cellIs" dxfId="7" priority="8" operator="lessThan">
      <formula>$I$31</formula>
    </cfRule>
  </conditionalFormatting>
  <conditionalFormatting sqref="J3:J28">
    <cfRule type="cellIs" dxfId="6" priority="7" operator="lessThan">
      <formula>$J$31</formula>
    </cfRule>
  </conditionalFormatting>
  <conditionalFormatting sqref="K3:K28">
    <cfRule type="cellIs" dxfId="5" priority="6" operator="lessThan">
      <formula>$K$31</formula>
    </cfRule>
  </conditionalFormatting>
  <conditionalFormatting sqref="L3:L28">
    <cfRule type="cellIs" dxfId="4" priority="5" operator="lessThan">
      <formula>$L$31</formula>
    </cfRule>
  </conditionalFormatting>
  <conditionalFormatting sqref="M3:M28">
    <cfRule type="cellIs" dxfId="3" priority="4" operator="lessThan">
      <formula>$M$31</formula>
    </cfRule>
  </conditionalFormatting>
  <conditionalFormatting sqref="N3:N28">
    <cfRule type="cellIs" dxfId="2" priority="3" operator="lessThan">
      <formula>$N$31</formula>
    </cfRule>
  </conditionalFormatting>
  <conditionalFormatting sqref="O3:O28">
    <cfRule type="cellIs" dxfId="1" priority="2" operator="lessThan">
      <formula>$O$31</formula>
    </cfRule>
  </conditionalFormatting>
  <conditionalFormatting sqref="P3:P28">
    <cfRule type="cellIs" dxfId="0" priority="1" operator="lessThan">
      <formula>$P$31</formula>
    </cfRule>
  </conditionalFormatting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dan Priority 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Tri Raharjo, SE</cp:lastModifiedBy>
  <dcterms:modified xsi:type="dcterms:W3CDTF">2025-12-16T04:37:40Z</dcterms:modified>
</cp:coreProperties>
</file>
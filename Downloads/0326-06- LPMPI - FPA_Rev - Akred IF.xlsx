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irfan.tri\Downloads\"/>
    </mc:Choice>
  </mc:AlternateContent>
  <bookViews>
    <workbookView xWindow="0" yWindow="0" windowWidth="20400" windowHeight="6555" firstSheet="1" activeTab="2"/>
  </bookViews>
  <sheets>
    <sheet name="kode M A K" sheetId="13" state="hidden" r:id="rId1"/>
    <sheet name="FPA-B - Akademik" sheetId="2" r:id="rId2"/>
    <sheet name="06- LPMPI- Akred IF" sheetId="9" r:id="rId3"/>
    <sheet name="copy" sheetId="15" r:id="rId4"/>
    <sheet name="Sheet1" sheetId="14" r:id="rId5"/>
    <sheet name="FPA-I - Akademik" sheetId="10" r:id="rId6"/>
    <sheet name="FPA-I - Non Akademik" sheetId="3" r:id="rId7"/>
    <sheet name="FPA-S - Akademik" sheetId="11" r:id="rId8"/>
    <sheet name="FPA-S - Non Akademik" sheetId="4" r:id="rId9"/>
    <sheet name="FPA-IG" sheetId="5" r:id="rId10"/>
    <sheet name="FPA-HD" sheetId="6" r:id="rId11"/>
  </sheets>
  <definedNames>
    <definedName name="Badan_Pengelelola_Usaha_Universitas">#REF!</definedName>
    <definedName name="Badan_Perencanaan_dan_Pengembangan">#REF!</definedName>
    <definedName name="Bagian_Administrasi_Akademik">#REF!</definedName>
    <definedName name="Bagian_Kemahasiswaan_dan_Alumni">#REF!</definedName>
    <definedName name="Biro_Sumber_Daya_dan_Keuangan">#REF!</definedName>
    <definedName name="CODE_ANG">#REF!</definedName>
    <definedName name="Fakultas_Bahasa_dan_Seni">#REF!</definedName>
    <definedName name="Fakultas_Ekonomi_dan_Bisnis">#REF!</definedName>
    <definedName name="Fakultas_Sains_dan_Teknologi">#REF!</definedName>
    <definedName name="Kantor_Kerjasama_dan_Urusan_Internasional">#REF!</definedName>
    <definedName name="Kantor_Sekretariat_Pimpinan">#REF!</definedName>
    <definedName name="KETERANGAN_SATUAN">#REF!</definedName>
    <definedName name="Kode">#REF!</definedName>
    <definedName name="Lembaga_Penelitian_dan_Pengabdian_Masyarakat">#REF!</definedName>
    <definedName name="Lembaga_Penjaminan_Mutu">#REF!</definedName>
    <definedName name="Metode_Pencairan">#REF!</definedName>
    <definedName name="Nama_Unit">#REF!</definedName>
    <definedName name="Pencairan_2023">#REF!</definedName>
    <definedName name="Periode">#REF!</definedName>
    <definedName name="_xlnm.Print_Area" localSheetId="5">'FPA-I - Akademik'!$A$1:$K$35</definedName>
    <definedName name="_xlnm.Print_Area" localSheetId="6">'FPA-I - Non Akademik'!$B$1:$K$28</definedName>
    <definedName name="Pusat_Karir">#REF!</definedName>
    <definedName name="Pusat_Pendikar_dan_MKU">#REF!</definedName>
    <definedName name="Singkatan" localSheetId="2">#REF!</definedName>
    <definedName name="Singkatan" localSheetId="5">#REF!</definedName>
    <definedName name="Singkatan" localSheetId="7">#REF!</definedName>
    <definedName name="Singkatan">#REF!</definedName>
    <definedName name="UNIT_MBKM">#REF!</definedName>
    <definedName name="UPT_Perpustakaan">#REF!</definedName>
    <definedName name="UPT_Sistem_Informasi">#REF!</definedName>
    <definedName name="Z_6FD40CE0_1F09_4936_B611_E995D0A8278F_.wvu.Rows" localSheetId="2" hidden="1">'06- LPMPI- Akred IF'!$5:$5</definedName>
    <definedName name="Z_6FD40CE0_1F09_4936_B611_E995D0A8278F_.wvu.Rows" localSheetId="1" hidden="1">'FPA-B - Akademik'!$5:$5</definedName>
    <definedName name="Z_6FD40CE0_1F09_4936_B611_E995D0A8278F_.wvu.Rows" localSheetId="10" hidden="1">'FPA-HD'!$5:$5</definedName>
    <definedName name="Z_6FD40CE0_1F09_4936_B611_E995D0A8278F_.wvu.Rows" localSheetId="5" hidden="1">'FPA-I - Akademik'!$5:$5</definedName>
    <definedName name="Z_6FD40CE0_1F09_4936_B611_E995D0A8278F_.wvu.Rows" localSheetId="6" hidden="1">'FPA-I - Non Akademik'!$5:$5</definedName>
    <definedName name="Z_6FD40CE0_1F09_4936_B611_E995D0A8278F_.wvu.Rows" localSheetId="9" hidden="1">'FPA-IG'!$5:$5</definedName>
    <definedName name="Z_6FD40CE0_1F09_4936_B611_E995D0A8278F_.wvu.Rows" localSheetId="7" hidden="1">'FPA-S - Akademik'!$5:$5</definedName>
    <definedName name="Z_6FD40CE0_1F09_4936_B611_E995D0A8278F_.wvu.Rows" localSheetId="8" hidden="1">'FPA-S - Non Akademik'!$5:$5</definedName>
  </definedNames>
  <calcPr calcId="152511"/>
  <customWorkbookViews>
    <customWorkbookView name="ADR - Personal View" guid="{6FD40CE0-1F09-4936-B611-E995D0A8278F}" mergeInterval="0" personalView="1" maximized="1" xWindow="-8" yWindow="-8" windowWidth="1382" windowHeight="784"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9" l="1"/>
  <c r="G20" i="9"/>
  <c r="G24" i="9" l="1"/>
  <c r="G18" i="9"/>
  <c r="G16" i="9"/>
  <c r="G19" i="9"/>
  <c r="G27" i="9"/>
  <c r="G23" i="15" l="1"/>
  <c r="G22" i="15"/>
  <c r="G21" i="15"/>
  <c r="G20" i="15"/>
  <c r="D19" i="15"/>
  <c r="G19" i="15" s="1"/>
  <c r="G18" i="15"/>
  <c r="G17" i="15"/>
  <c r="G16" i="15"/>
  <c r="G15" i="15"/>
  <c r="G14" i="15"/>
  <c r="G24" i="15" s="1"/>
  <c r="G23" i="9"/>
  <c r="G25" i="9"/>
  <c r="G26" i="9"/>
  <c r="G22" i="9"/>
  <c r="G14" i="9"/>
  <c r="G21" i="9"/>
  <c r="G24" i="11"/>
  <c r="G23" i="11"/>
  <c r="G22" i="11"/>
  <c r="G21" i="11"/>
  <c r="G20" i="11"/>
  <c r="G19" i="11"/>
  <c r="G18" i="11"/>
  <c r="G17" i="11"/>
  <c r="G16" i="11"/>
  <c r="G15" i="11"/>
  <c r="G22" i="10"/>
  <c r="G21" i="10"/>
  <c r="G20" i="10"/>
  <c r="G19" i="10"/>
  <c r="G18" i="10"/>
  <c r="G17" i="10"/>
  <c r="G16" i="10"/>
  <c r="G15" i="10"/>
  <c r="G14" i="10"/>
  <c r="G13" i="10"/>
  <c r="G15" i="9"/>
  <c r="G22" i="6"/>
  <c r="G21" i="6"/>
  <c r="G20" i="6"/>
  <c r="G19" i="6"/>
  <c r="G18" i="6"/>
  <c r="G17" i="6"/>
  <c r="G16" i="6"/>
  <c r="G15" i="6"/>
  <c r="G14" i="6"/>
  <c r="G13" i="6"/>
  <c r="G22" i="5"/>
  <c r="G21" i="5"/>
  <c r="G20" i="5"/>
  <c r="G19" i="5"/>
  <c r="G18" i="5"/>
  <c r="G17" i="5"/>
  <c r="G16" i="5"/>
  <c r="G15" i="5"/>
  <c r="G14" i="5"/>
  <c r="G13" i="5"/>
  <c r="G28" i="9" l="1"/>
  <c r="G25" i="11"/>
  <c r="G23" i="10"/>
  <c r="G23" i="5"/>
  <c r="G23" i="6"/>
  <c r="G24" i="4"/>
  <c r="G23" i="4"/>
  <c r="G22" i="4"/>
  <c r="G21" i="4"/>
  <c r="G20" i="4"/>
  <c r="G19" i="4"/>
  <c r="G18" i="4"/>
  <c r="G17" i="4"/>
  <c r="G16" i="4"/>
  <c r="G15" i="4"/>
  <c r="G23" i="3"/>
  <c r="G22" i="3"/>
  <c r="G21" i="3"/>
  <c r="G20" i="3"/>
  <c r="G19" i="3"/>
  <c r="G18" i="3"/>
  <c r="G17" i="3"/>
  <c r="G16" i="3"/>
  <c r="G15" i="3"/>
  <c r="G14" i="3"/>
  <c r="G13" i="2"/>
  <c r="G25" i="4" l="1"/>
  <c r="G24" i="3"/>
  <c r="G22" i="2" l="1"/>
  <c r="G21" i="2"/>
  <c r="G20" i="2"/>
  <c r="G19" i="2"/>
  <c r="G18" i="2"/>
  <c r="G17" i="2"/>
  <c r="G16" i="2"/>
  <c r="G15" i="2"/>
  <c r="G14" i="2"/>
  <c r="G23" i="2" l="1"/>
</calcChain>
</file>

<file path=xl/comments1.xml><?xml version="1.0" encoding="utf-8"?>
<comments xmlns="http://schemas.openxmlformats.org/spreadsheetml/2006/main">
  <authors>
    <author>Janviera Adriana Nugrahani S.E,S.Kom</author>
  </authors>
  <commentList>
    <comment ref="E19" authorId="0" shapeId="0">
      <text>
        <r>
          <rPr>
            <b/>
            <sz val="9"/>
            <color indexed="81"/>
            <rFont val="Tahoma"/>
            <family val="2"/>
          </rPr>
          <t>Janviera Adriana Nugrahani S.E,S.Kom:</t>
        </r>
        <r>
          <rPr>
            <sz val="9"/>
            <color indexed="81"/>
            <rFont val="Tahoma"/>
            <family val="2"/>
          </rPr>
          <t xml:space="preserve">
mata anggaran baru dibuat di RKATR II Periode 2024/2025
</t>
        </r>
      </text>
    </comment>
    <comment ref="E50" authorId="0" shapeId="0">
      <text>
        <r>
          <rPr>
            <b/>
            <sz val="9"/>
            <color indexed="81"/>
            <rFont val="Tahoma"/>
            <family val="2"/>
          </rPr>
          <t>Janviera Adriana Nugrahani S.E,S.Kom:</t>
        </r>
        <r>
          <rPr>
            <sz val="9"/>
            <color indexed="81"/>
            <rFont val="Tahoma"/>
            <family val="2"/>
          </rPr>
          <t xml:space="preserve">
tanggal 26 agustus 2024 merubah nama mat anaggaran dari kebersihan sarana prasarana kemahasiswaan menjadi Pemeliharaan sarana prasaran kemahasiswaan</t>
        </r>
      </text>
    </comment>
  </commentList>
</comments>
</file>

<file path=xl/comments2.xml><?xml version="1.0" encoding="utf-8"?>
<comments xmlns="http://schemas.openxmlformats.org/spreadsheetml/2006/main">
  <authors>
    <author>ADR</author>
    <author>Prita Ika Dewi, STP</author>
  </authors>
  <commentList>
    <comment ref="B7" authorId="0" shapeId="0">
      <text>
        <r>
          <rPr>
            <b/>
            <sz val="9"/>
            <color indexed="81"/>
            <rFont val="Tahoma"/>
            <family val="2"/>
          </rPr>
          <t>BPPPK:</t>
        </r>
        <r>
          <rPr>
            <sz val="9"/>
            <color indexed="81"/>
            <rFont val="Tahoma"/>
            <family val="2"/>
          </rPr>
          <t xml:space="preserve">
</t>
        </r>
        <r>
          <rPr>
            <sz val="12"/>
            <color indexed="81"/>
            <rFont val="Tahoma"/>
            <family val="2"/>
          </rPr>
          <t>Diisi oleh Bagian Keuangan - dengan stempel</t>
        </r>
      </text>
    </comment>
    <comment ref="B8" authorId="0" shapeId="0">
      <text>
        <r>
          <rPr>
            <b/>
            <sz val="9"/>
            <color indexed="81"/>
            <rFont val="Tahoma"/>
            <family val="2"/>
          </rPr>
          <t>BPPPK:</t>
        </r>
        <r>
          <rPr>
            <sz val="9"/>
            <color indexed="81"/>
            <rFont val="Tahoma"/>
            <family val="2"/>
          </rPr>
          <t xml:space="preserve">
</t>
        </r>
        <r>
          <rPr>
            <sz val="10"/>
            <color indexed="81"/>
            <rFont val="Tahoma"/>
            <family val="2"/>
          </rPr>
          <t>Format Nomor FPA adalah :
[NoUrutFPA di unit]/FPA (sesuai jenisnya)/[Periode RKATR]/[Singkatan Nama Unit]</t>
        </r>
      </text>
    </comment>
    <comment ref="B10" authorId="1" shapeId="0">
      <text>
        <r>
          <rPr>
            <b/>
            <sz val="9"/>
            <color indexed="81"/>
            <rFont val="Tahoma"/>
            <family val="2"/>
          </rPr>
          <t>BPPPK:</t>
        </r>
        <r>
          <rPr>
            <sz val="9"/>
            <color indexed="81"/>
            <rFont val="Tahoma"/>
            <family val="2"/>
          </rPr>
          <t xml:space="preserve">
Pastikan mata anggaran yang dipilih sesuai dengan yang diajukan pada RKATR</t>
        </r>
      </text>
    </comment>
    <comment ref="A12" authorId="1" shapeId="0">
      <text>
        <r>
          <rPr>
            <b/>
            <sz val="9"/>
            <color indexed="81"/>
            <rFont val="Tahoma"/>
            <family val="2"/>
          </rPr>
          <t>BPPPK:</t>
        </r>
        <r>
          <rPr>
            <sz val="9"/>
            <color indexed="81"/>
            <rFont val="Tahoma"/>
            <family val="2"/>
          </rPr>
          <t xml:space="preserve">
Harap melakukan pengecekan RKATR, nama kegiatan harus sama dengan kegiatan yang sudah diajukan dalam RKATR</t>
        </r>
      </text>
    </comment>
    <comment ref="E12" authorId="1" shapeId="0">
      <text>
        <r>
          <rPr>
            <b/>
            <sz val="9"/>
            <color indexed="81"/>
            <rFont val="Tahoma"/>
            <family val="2"/>
          </rPr>
          <t>BPPPK:</t>
        </r>
        <r>
          <rPr>
            <sz val="9"/>
            <color indexed="81"/>
            <rFont val="Tahoma"/>
            <family val="2"/>
          </rPr>
          <t xml:space="preserve">
Mohon satuan memperhatikan satuan yang ada pada RKATR untuk kegiatan tersebut.</t>
        </r>
      </text>
    </comment>
    <comment ref="J12" authorId="1" shapeId="0">
      <text>
        <r>
          <rPr>
            <b/>
            <sz val="9"/>
            <color indexed="81"/>
            <rFont val="Tahoma"/>
            <family val="2"/>
          </rPr>
          <t xml:space="preserve">BPPPK:
</t>
        </r>
        <r>
          <rPr>
            <sz val="9"/>
            <color indexed="81"/>
            <rFont val="Tahoma"/>
            <family val="2"/>
          </rPr>
          <t xml:space="preserve">Tunai PIC - Tuliskan nama PIC penerima uang
Transfer Vendor - Tuliskan nama vendor sesuai invoice 
</t>
        </r>
      </text>
    </comment>
    <comment ref="K12" authorId="1" shapeId="0">
      <text>
        <r>
          <rPr>
            <b/>
            <sz val="9"/>
            <color indexed="81"/>
            <rFont val="Tahoma"/>
            <family val="2"/>
          </rPr>
          <t>BPPPK:</t>
        </r>
        <r>
          <rPr>
            <sz val="9"/>
            <color indexed="81"/>
            <rFont val="Tahoma"/>
            <family val="2"/>
          </rPr>
          <t xml:space="preserve">
Tuliskan indikator kesuksesan dari kegiatan yang dilaksanakan.</t>
        </r>
      </text>
    </comment>
    <comment ref="C27" authorId="1" shapeId="0">
      <text>
        <r>
          <rPr>
            <b/>
            <sz val="9"/>
            <color indexed="81"/>
            <rFont val="Tahoma"/>
            <family val="2"/>
          </rPr>
          <t>BPPPK:</t>
        </r>
        <r>
          <rPr>
            <sz val="9"/>
            <color indexed="81"/>
            <rFont val="Tahoma"/>
            <family val="2"/>
          </rPr>
          <t xml:space="preserve">
Khusus untuk pengajuan Program Studi, jika kegiatan diusulkan dari Fakultas maka bagian ini dapat dihapuskan</t>
        </r>
      </text>
    </comment>
  </commentList>
</comments>
</file>

<file path=xl/comments3.xml><?xml version="1.0" encoding="utf-8"?>
<comments xmlns="http://schemas.openxmlformats.org/spreadsheetml/2006/main">
  <authors>
    <author>ADR</author>
    <author>Prita Ika Dewi, STP</author>
  </authors>
  <commentList>
    <comment ref="B8" authorId="0" shapeId="0">
      <text>
        <r>
          <rPr>
            <b/>
            <sz val="9"/>
            <color indexed="81"/>
            <rFont val="Tahoma"/>
            <family val="2"/>
          </rPr>
          <t>BPPPK:</t>
        </r>
        <r>
          <rPr>
            <sz val="9"/>
            <color indexed="81"/>
            <rFont val="Tahoma"/>
            <family val="2"/>
          </rPr>
          <t xml:space="preserve">
</t>
        </r>
        <r>
          <rPr>
            <sz val="12"/>
            <color indexed="81"/>
            <rFont val="Tahoma"/>
            <family val="2"/>
          </rPr>
          <t>Diisi oleh Bagian Keuangan - dengan stempel</t>
        </r>
      </text>
    </comment>
    <comment ref="B9" authorId="0" shapeId="0">
      <text>
        <r>
          <rPr>
            <b/>
            <sz val="9"/>
            <color indexed="81"/>
            <rFont val="Tahoma"/>
            <family val="2"/>
          </rPr>
          <t>BPPPK:</t>
        </r>
        <r>
          <rPr>
            <sz val="9"/>
            <color indexed="81"/>
            <rFont val="Tahoma"/>
            <family val="2"/>
          </rPr>
          <t xml:space="preserve">
</t>
        </r>
        <r>
          <rPr>
            <sz val="10"/>
            <color indexed="81"/>
            <rFont val="Tahoma"/>
            <family val="2"/>
          </rPr>
          <t>Format Nomor FPA adalah :
[NoUrutFPA di unit]/FPA (sesuai jenisnya)/[Periode RKATR]/[Singkatan Nama Unit]</t>
        </r>
      </text>
    </comment>
    <comment ref="B11" authorId="1" shapeId="0">
      <text>
        <r>
          <rPr>
            <b/>
            <sz val="9"/>
            <color indexed="81"/>
            <rFont val="Tahoma"/>
            <family val="2"/>
          </rPr>
          <t>BPPPK:</t>
        </r>
        <r>
          <rPr>
            <sz val="9"/>
            <color indexed="81"/>
            <rFont val="Tahoma"/>
            <family val="2"/>
          </rPr>
          <t xml:space="preserve">
Pastikan mata anggaran yang dipilih sesuai dengan yang diajukan pada RKATR</t>
        </r>
      </text>
    </comment>
    <comment ref="A13" authorId="1" shapeId="0">
      <text>
        <r>
          <rPr>
            <b/>
            <sz val="9"/>
            <color indexed="81"/>
            <rFont val="Tahoma"/>
            <family val="2"/>
          </rPr>
          <t>BPPPK:</t>
        </r>
        <r>
          <rPr>
            <sz val="9"/>
            <color indexed="81"/>
            <rFont val="Tahoma"/>
            <family val="2"/>
          </rPr>
          <t xml:space="preserve">
Harap melakukan pengecekan RKATR, nama kegiatan harus sama dengan kegiatan yang sudah diajukan dalam RKATR</t>
        </r>
      </text>
    </comment>
    <comment ref="E13" authorId="1" shapeId="0">
      <text>
        <r>
          <rPr>
            <b/>
            <sz val="9"/>
            <color indexed="81"/>
            <rFont val="Tahoma"/>
            <family val="2"/>
          </rPr>
          <t>BPPPK:</t>
        </r>
        <r>
          <rPr>
            <sz val="9"/>
            <color indexed="81"/>
            <rFont val="Tahoma"/>
            <family val="2"/>
          </rPr>
          <t xml:space="preserve">
Mohon satuan memperhatikan satuan yang ada pada RKATR untuk kegiatan tersebut.</t>
        </r>
      </text>
    </comment>
    <comment ref="J13" authorId="1" shapeId="0">
      <text>
        <r>
          <rPr>
            <b/>
            <sz val="9"/>
            <color indexed="81"/>
            <rFont val="Tahoma"/>
            <family val="2"/>
          </rPr>
          <t xml:space="preserve">BPPPK:
</t>
        </r>
        <r>
          <rPr>
            <sz val="9"/>
            <color indexed="81"/>
            <rFont val="Tahoma"/>
            <family val="2"/>
          </rPr>
          <t xml:space="preserve">Tunai PIC - Tuliskan nama PIC penerima uang
Transfer Vendor - Tuliskan nama vendor sesuai invoice 
</t>
        </r>
      </text>
    </comment>
    <comment ref="K13" authorId="1" shapeId="0">
      <text>
        <r>
          <rPr>
            <b/>
            <sz val="9"/>
            <color indexed="81"/>
            <rFont val="Tahoma"/>
            <family val="2"/>
          </rPr>
          <t>BPPPK:</t>
        </r>
        <r>
          <rPr>
            <sz val="9"/>
            <color indexed="81"/>
            <rFont val="Tahoma"/>
            <family val="2"/>
          </rPr>
          <t xml:space="preserve">
Tuliskan indikator kesuksesan dari kegiatan yang dilaksanakan.</t>
        </r>
      </text>
    </comment>
  </commentList>
</comments>
</file>

<file path=xl/comments4.xml><?xml version="1.0" encoding="utf-8"?>
<comments xmlns="http://schemas.openxmlformats.org/spreadsheetml/2006/main">
  <authors>
    <author>ADR</author>
    <author>Prita Ika Dewi, STP</author>
  </authors>
  <commentList>
    <comment ref="B8" authorId="0" shapeId="0">
      <text>
        <r>
          <rPr>
            <b/>
            <sz val="9"/>
            <color indexed="81"/>
            <rFont val="Tahoma"/>
            <family val="2"/>
          </rPr>
          <t>BPPPK:</t>
        </r>
        <r>
          <rPr>
            <sz val="9"/>
            <color indexed="81"/>
            <rFont val="Tahoma"/>
            <family val="2"/>
          </rPr>
          <t xml:space="preserve">
</t>
        </r>
        <r>
          <rPr>
            <sz val="12"/>
            <color indexed="81"/>
            <rFont val="Tahoma"/>
            <family val="2"/>
          </rPr>
          <t>Diisi oleh Bagian Keuangan - dengan stempel</t>
        </r>
      </text>
    </comment>
    <comment ref="B9" authorId="0" shapeId="0">
      <text>
        <r>
          <rPr>
            <b/>
            <sz val="9"/>
            <color indexed="81"/>
            <rFont val="Tahoma"/>
            <family val="2"/>
          </rPr>
          <t>BPPPK:</t>
        </r>
        <r>
          <rPr>
            <sz val="9"/>
            <color indexed="81"/>
            <rFont val="Tahoma"/>
            <family val="2"/>
          </rPr>
          <t xml:space="preserve">
</t>
        </r>
        <r>
          <rPr>
            <sz val="10"/>
            <color indexed="81"/>
            <rFont val="Tahoma"/>
            <family val="2"/>
          </rPr>
          <t>Format Nomor FPA adalah :
[NoUrutFPA di unit]/FPA (sesuai jenisnya)/[Periode RKATR]/[Singkatan Nama Unit]</t>
        </r>
      </text>
    </comment>
    <comment ref="B11" authorId="1" shapeId="0">
      <text>
        <r>
          <rPr>
            <b/>
            <sz val="9"/>
            <color indexed="81"/>
            <rFont val="Tahoma"/>
            <family val="2"/>
          </rPr>
          <t>BPPPK:</t>
        </r>
        <r>
          <rPr>
            <sz val="9"/>
            <color indexed="81"/>
            <rFont val="Tahoma"/>
            <family val="2"/>
          </rPr>
          <t xml:space="preserve">
Pastikan mata anggaran yang dipilih sesuai dengan yang diajukan pada RKATR</t>
        </r>
      </text>
    </comment>
    <comment ref="A13" authorId="1" shapeId="0">
      <text>
        <r>
          <rPr>
            <b/>
            <sz val="9"/>
            <color indexed="81"/>
            <rFont val="Tahoma"/>
            <family val="2"/>
          </rPr>
          <t>BPPPK:</t>
        </r>
        <r>
          <rPr>
            <sz val="9"/>
            <color indexed="81"/>
            <rFont val="Tahoma"/>
            <family val="2"/>
          </rPr>
          <t xml:space="preserve">
Harap melakukan pengecekan RKATR, nama kegiatan harus sama dengan kegiatan yang sudah diajukan dalam RKATR</t>
        </r>
      </text>
    </comment>
    <comment ref="E13" authorId="1" shapeId="0">
      <text>
        <r>
          <rPr>
            <b/>
            <sz val="9"/>
            <color indexed="81"/>
            <rFont val="Tahoma"/>
            <family val="2"/>
          </rPr>
          <t>BPPPK:</t>
        </r>
        <r>
          <rPr>
            <sz val="9"/>
            <color indexed="81"/>
            <rFont val="Tahoma"/>
            <family val="2"/>
          </rPr>
          <t xml:space="preserve">
Mohon satuan memperhatikan satuan yang ada pada RKATR untuk kegiatan tersebut.</t>
        </r>
      </text>
    </comment>
    <comment ref="J13" authorId="1" shapeId="0">
      <text>
        <r>
          <rPr>
            <b/>
            <sz val="9"/>
            <color indexed="81"/>
            <rFont val="Tahoma"/>
            <family val="2"/>
          </rPr>
          <t xml:space="preserve">BPPPK:
</t>
        </r>
        <r>
          <rPr>
            <sz val="9"/>
            <color indexed="81"/>
            <rFont val="Tahoma"/>
            <family val="2"/>
          </rPr>
          <t xml:space="preserve">Tunai PIC - Tuliskan nama PIC penerima uang
Transfer Vendor - Tuliskan nama vendor sesuai invoice 
</t>
        </r>
      </text>
    </comment>
    <comment ref="K13" authorId="1" shapeId="0">
      <text>
        <r>
          <rPr>
            <b/>
            <sz val="9"/>
            <color indexed="81"/>
            <rFont val="Tahoma"/>
            <family val="2"/>
          </rPr>
          <t>BPPPK:</t>
        </r>
        <r>
          <rPr>
            <sz val="9"/>
            <color indexed="81"/>
            <rFont val="Tahoma"/>
            <family val="2"/>
          </rPr>
          <t xml:space="preserve">
Tuliskan indikator kesuksesan dari kegiatan yang dilaksanakan.</t>
        </r>
      </text>
    </comment>
  </commentList>
</comments>
</file>

<file path=xl/comments5.xml><?xml version="1.0" encoding="utf-8"?>
<comments xmlns="http://schemas.openxmlformats.org/spreadsheetml/2006/main">
  <authors>
    <author>ADR</author>
    <author>Prita Ika Dewi, STP</author>
  </authors>
  <commentList>
    <comment ref="B7" authorId="0" shapeId="0">
      <text>
        <r>
          <rPr>
            <b/>
            <sz val="9"/>
            <color indexed="81"/>
            <rFont val="Tahoma"/>
            <family val="2"/>
          </rPr>
          <t>BPPPK:</t>
        </r>
        <r>
          <rPr>
            <sz val="9"/>
            <color indexed="81"/>
            <rFont val="Tahoma"/>
            <family val="2"/>
          </rPr>
          <t xml:space="preserve">
</t>
        </r>
        <r>
          <rPr>
            <sz val="12"/>
            <color indexed="81"/>
            <rFont val="Tahoma"/>
            <family val="2"/>
          </rPr>
          <t>Diisi oleh Bagian Keuangan - dengan stempel</t>
        </r>
      </text>
    </comment>
    <comment ref="B8" authorId="0" shapeId="0">
      <text>
        <r>
          <rPr>
            <b/>
            <sz val="9"/>
            <color indexed="81"/>
            <rFont val="Tahoma"/>
            <family val="2"/>
          </rPr>
          <t>BPPPK:</t>
        </r>
        <r>
          <rPr>
            <sz val="9"/>
            <color indexed="81"/>
            <rFont val="Tahoma"/>
            <family val="2"/>
          </rPr>
          <t xml:space="preserve">
</t>
        </r>
        <r>
          <rPr>
            <sz val="10"/>
            <color indexed="81"/>
            <rFont val="Tahoma"/>
            <family val="2"/>
          </rPr>
          <t>Format Nomor FPA adalah :
[NoUrutFPA di unit]/FPA (sesuai jenisnya)/[Periode RKATR]/[Singkatan Nama Unit]</t>
        </r>
      </text>
    </comment>
    <comment ref="B10" authorId="1" shapeId="0">
      <text>
        <r>
          <rPr>
            <b/>
            <sz val="9"/>
            <color indexed="81"/>
            <rFont val="Tahoma"/>
            <family val="2"/>
          </rPr>
          <t>BPPPK:</t>
        </r>
        <r>
          <rPr>
            <sz val="9"/>
            <color indexed="81"/>
            <rFont val="Tahoma"/>
            <family val="2"/>
          </rPr>
          <t xml:space="preserve">
Pastikan mata anggaran yang dipilih sesuai dengan yang diajukan pada RKATR</t>
        </r>
      </text>
    </comment>
    <comment ref="A12" authorId="1" shapeId="0">
      <text>
        <r>
          <rPr>
            <b/>
            <sz val="9"/>
            <color indexed="81"/>
            <rFont val="Tahoma"/>
            <family val="2"/>
          </rPr>
          <t>BPPPK:</t>
        </r>
        <r>
          <rPr>
            <sz val="9"/>
            <color indexed="81"/>
            <rFont val="Tahoma"/>
            <family val="2"/>
          </rPr>
          <t xml:space="preserve">
Harap melakukan pengecekan RKATR, nama kegiatan harus sama dengan kegiatan yang sudah diajukan dalam RKATR</t>
        </r>
      </text>
    </comment>
    <comment ref="E12" authorId="1" shapeId="0">
      <text>
        <r>
          <rPr>
            <b/>
            <sz val="9"/>
            <color indexed="81"/>
            <rFont val="Tahoma"/>
            <family val="2"/>
          </rPr>
          <t>BPPPK:</t>
        </r>
        <r>
          <rPr>
            <sz val="9"/>
            <color indexed="81"/>
            <rFont val="Tahoma"/>
            <family val="2"/>
          </rPr>
          <t xml:space="preserve">
Mohon satuan memperhatikan satuan yang ada pada RKATR untuk kegiatan tersebut.</t>
        </r>
      </text>
    </comment>
    <comment ref="J12" authorId="1" shapeId="0">
      <text>
        <r>
          <rPr>
            <b/>
            <sz val="9"/>
            <color indexed="81"/>
            <rFont val="Tahoma"/>
            <family val="2"/>
          </rPr>
          <t xml:space="preserve">BPPPK:
</t>
        </r>
        <r>
          <rPr>
            <sz val="9"/>
            <color indexed="81"/>
            <rFont val="Tahoma"/>
            <family val="2"/>
          </rPr>
          <t xml:space="preserve">Tunai PIC - Tuliskan nama PIC penerima uang
Transfer Vendor - Tuliskan nama vendor sesuai invoice 
</t>
        </r>
      </text>
    </comment>
    <comment ref="K12" authorId="1" shapeId="0">
      <text>
        <r>
          <rPr>
            <b/>
            <sz val="9"/>
            <color indexed="81"/>
            <rFont val="Tahoma"/>
            <family val="2"/>
          </rPr>
          <t>BPPPK:</t>
        </r>
        <r>
          <rPr>
            <sz val="9"/>
            <color indexed="81"/>
            <rFont val="Tahoma"/>
            <family val="2"/>
          </rPr>
          <t xml:space="preserve">
Tuliskan indikator kesuksesan dari kegiatan yang dilaksanakan.</t>
        </r>
      </text>
    </comment>
    <comment ref="C27" authorId="1" shapeId="0">
      <text>
        <r>
          <rPr>
            <b/>
            <sz val="9"/>
            <color indexed="81"/>
            <rFont val="Tahoma"/>
            <family val="2"/>
          </rPr>
          <t>BPPPK:</t>
        </r>
        <r>
          <rPr>
            <sz val="9"/>
            <color indexed="81"/>
            <rFont val="Tahoma"/>
            <family val="2"/>
          </rPr>
          <t xml:space="preserve">
Khusus untuk pengajuan Program Studi, jika kegiatan diusulkan dari Fakultas maka bagian ini dapat dihapuskan</t>
        </r>
      </text>
    </comment>
  </commentList>
</comments>
</file>

<file path=xl/comments6.xml><?xml version="1.0" encoding="utf-8"?>
<comments xmlns="http://schemas.openxmlformats.org/spreadsheetml/2006/main">
  <authors>
    <author>ADR</author>
    <author>Prita Ika Dewi, STP</author>
  </authors>
  <commentList>
    <comment ref="B8" authorId="0" shapeId="0">
      <text>
        <r>
          <rPr>
            <b/>
            <sz val="9"/>
            <color indexed="81"/>
            <rFont val="Tahoma"/>
            <family val="2"/>
          </rPr>
          <t>BPPPK:</t>
        </r>
        <r>
          <rPr>
            <sz val="9"/>
            <color indexed="81"/>
            <rFont val="Tahoma"/>
            <family val="2"/>
          </rPr>
          <t xml:space="preserve">
</t>
        </r>
        <r>
          <rPr>
            <sz val="12"/>
            <color indexed="81"/>
            <rFont val="Tahoma"/>
            <family val="2"/>
          </rPr>
          <t>Diisi oleh Bagian Keuangan - dengan stempel</t>
        </r>
      </text>
    </comment>
    <comment ref="B9" authorId="0" shapeId="0">
      <text>
        <r>
          <rPr>
            <b/>
            <sz val="9"/>
            <color indexed="81"/>
            <rFont val="Tahoma"/>
            <family val="2"/>
          </rPr>
          <t>BPPPK:</t>
        </r>
        <r>
          <rPr>
            <sz val="9"/>
            <color indexed="81"/>
            <rFont val="Tahoma"/>
            <family val="2"/>
          </rPr>
          <t xml:space="preserve">
</t>
        </r>
        <r>
          <rPr>
            <sz val="10"/>
            <color indexed="81"/>
            <rFont val="Tahoma"/>
            <family val="2"/>
          </rPr>
          <t>Format Nomor FPA adalah :
[NoUrutFPA di unit]/FPA (sesuai jenisnya)/[Periode RKATR]/[Singkatan Nama Unit]</t>
        </r>
      </text>
    </comment>
    <comment ref="B11" authorId="1" shapeId="0">
      <text>
        <r>
          <rPr>
            <b/>
            <sz val="9"/>
            <color indexed="81"/>
            <rFont val="Tahoma"/>
            <family val="2"/>
          </rPr>
          <t>BPPPK:</t>
        </r>
        <r>
          <rPr>
            <sz val="9"/>
            <color indexed="81"/>
            <rFont val="Tahoma"/>
            <family val="2"/>
          </rPr>
          <t xml:space="preserve">
Pastikan mata anggaran yang dipilih sesuai dengan yang diajukan pada RKATR</t>
        </r>
      </text>
    </comment>
    <comment ref="A13" authorId="1" shapeId="0">
      <text>
        <r>
          <rPr>
            <b/>
            <sz val="9"/>
            <color indexed="81"/>
            <rFont val="Tahoma"/>
            <family val="2"/>
          </rPr>
          <t>BPPPK:</t>
        </r>
        <r>
          <rPr>
            <sz val="9"/>
            <color indexed="81"/>
            <rFont val="Tahoma"/>
            <family val="2"/>
          </rPr>
          <t xml:space="preserve">
Harap melakukan pengecekan RKATR, nama kegiatan harus sama dengan kegiatan yang sudah diajukan dalam RKATR</t>
        </r>
      </text>
    </comment>
    <comment ref="E13" authorId="1" shapeId="0">
      <text>
        <r>
          <rPr>
            <b/>
            <sz val="9"/>
            <color indexed="81"/>
            <rFont val="Tahoma"/>
            <family val="2"/>
          </rPr>
          <t>BPPPK:</t>
        </r>
        <r>
          <rPr>
            <sz val="9"/>
            <color indexed="81"/>
            <rFont val="Tahoma"/>
            <family val="2"/>
          </rPr>
          <t xml:space="preserve">
Mohon satuan memperhatikan satuan yang ada pada RKATR untuk kegiatan tersebut.</t>
        </r>
      </text>
    </comment>
    <comment ref="J13" authorId="1" shapeId="0">
      <text>
        <r>
          <rPr>
            <b/>
            <sz val="9"/>
            <color indexed="81"/>
            <rFont val="Tahoma"/>
            <family val="2"/>
          </rPr>
          <t xml:space="preserve">BPPPK:
</t>
        </r>
        <r>
          <rPr>
            <sz val="9"/>
            <color indexed="81"/>
            <rFont val="Tahoma"/>
            <family val="2"/>
          </rPr>
          <t xml:space="preserve">Tunai PIC - Tuliskan nama PIC penerima uang
Transfer Vendor - Tuliskan nama vendor sesuai invoice 
</t>
        </r>
      </text>
    </comment>
    <comment ref="K13" authorId="1" shapeId="0">
      <text>
        <r>
          <rPr>
            <b/>
            <sz val="9"/>
            <color indexed="81"/>
            <rFont val="Tahoma"/>
            <family val="2"/>
          </rPr>
          <t>BPPPK:</t>
        </r>
        <r>
          <rPr>
            <sz val="9"/>
            <color indexed="81"/>
            <rFont val="Tahoma"/>
            <family val="2"/>
          </rPr>
          <t xml:space="preserve">
Tuliskan indikator kesuksesan dari kegiatan yang dilaksanakan.</t>
        </r>
      </text>
    </comment>
  </commentList>
</comments>
</file>

<file path=xl/comments7.xml><?xml version="1.0" encoding="utf-8"?>
<comments xmlns="http://schemas.openxmlformats.org/spreadsheetml/2006/main">
  <authors>
    <author>ADR</author>
    <author>Prita Ika Dewi, STP</author>
  </authors>
  <commentList>
    <comment ref="B8" authorId="0" shapeId="0">
      <text>
        <r>
          <rPr>
            <b/>
            <sz val="9"/>
            <color indexed="81"/>
            <rFont val="Tahoma"/>
            <family val="2"/>
          </rPr>
          <t>BPPPK:</t>
        </r>
        <r>
          <rPr>
            <sz val="9"/>
            <color indexed="81"/>
            <rFont val="Tahoma"/>
            <family val="2"/>
          </rPr>
          <t xml:space="preserve">
</t>
        </r>
        <r>
          <rPr>
            <sz val="12"/>
            <color indexed="81"/>
            <rFont val="Tahoma"/>
            <family val="2"/>
          </rPr>
          <t>Diisi oleh Bagian Keuangan - dengan stempel</t>
        </r>
      </text>
    </comment>
    <comment ref="B9" authorId="0" shapeId="0">
      <text>
        <r>
          <rPr>
            <b/>
            <sz val="9"/>
            <color indexed="81"/>
            <rFont val="Tahoma"/>
            <family val="2"/>
          </rPr>
          <t>BPPPK:</t>
        </r>
        <r>
          <rPr>
            <sz val="9"/>
            <color indexed="81"/>
            <rFont val="Tahoma"/>
            <family val="2"/>
          </rPr>
          <t xml:space="preserve">
</t>
        </r>
        <r>
          <rPr>
            <sz val="10"/>
            <color indexed="81"/>
            <rFont val="Tahoma"/>
            <family val="2"/>
          </rPr>
          <t>Format Nomor FPA adalah :
[NoUrutFPA di unit]/FPA (sesuai jenisnya)/[Periode RKATR]/[Singkatan Nama Unit]</t>
        </r>
      </text>
    </comment>
    <comment ref="B10" authorId="1" shapeId="0">
      <text>
        <r>
          <rPr>
            <b/>
            <sz val="9"/>
            <color indexed="81"/>
            <rFont val="Tahoma"/>
            <family val="2"/>
          </rPr>
          <t>BPPPK:</t>
        </r>
        <r>
          <rPr>
            <sz val="9"/>
            <color indexed="81"/>
            <rFont val="Tahoma"/>
            <family val="2"/>
          </rPr>
          <t xml:space="preserve">
Masukkan nomor Memo Pengajuan dari unit</t>
        </r>
      </text>
    </comment>
    <comment ref="B12" authorId="1" shapeId="0">
      <text>
        <r>
          <rPr>
            <b/>
            <sz val="9"/>
            <color indexed="81"/>
            <rFont val="Tahoma"/>
            <family val="2"/>
          </rPr>
          <t>BPPPK:</t>
        </r>
        <r>
          <rPr>
            <sz val="9"/>
            <color indexed="81"/>
            <rFont val="Tahoma"/>
            <family val="2"/>
          </rPr>
          <t xml:space="preserve">
Pastikan mata anggaran yang dipilih sesuai dengan yang diajukan pada RKATR</t>
        </r>
      </text>
    </comment>
    <comment ref="A14" authorId="1" shapeId="0">
      <text>
        <r>
          <rPr>
            <b/>
            <sz val="9"/>
            <color indexed="81"/>
            <rFont val="Tahoma"/>
            <family val="2"/>
          </rPr>
          <t>BPPPK:</t>
        </r>
        <r>
          <rPr>
            <sz val="9"/>
            <color indexed="81"/>
            <rFont val="Tahoma"/>
            <family val="2"/>
          </rPr>
          <t xml:space="preserve">
Harap melakukan pengecekan RKATR, nama kegiatan harus sama dengan kegiatan yang sudah diajukan dalam RKATR</t>
        </r>
      </text>
    </comment>
    <comment ref="E14" authorId="1" shapeId="0">
      <text>
        <r>
          <rPr>
            <b/>
            <sz val="9"/>
            <color indexed="81"/>
            <rFont val="Tahoma"/>
            <family val="2"/>
          </rPr>
          <t>BPPPK:</t>
        </r>
        <r>
          <rPr>
            <sz val="9"/>
            <color indexed="81"/>
            <rFont val="Tahoma"/>
            <family val="2"/>
          </rPr>
          <t xml:space="preserve">
Mohon satuan memperhatikan satuan yang ada pada RKATR untuk kegiatan tersebut.</t>
        </r>
      </text>
    </comment>
    <comment ref="J14" authorId="1" shapeId="0">
      <text>
        <r>
          <rPr>
            <b/>
            <sz val="9"/>
            <color indexed="81"/>
            <rFont val="Tahoma"/>
            <family val="2"/>
          </rPr>
          <t xml:space="preserve">BPPPK:
</t>
        </r>
        <r>
          <rPr>
            <sz val="9"/>
            <color indexed="81"/>
            <rFont val="Tahoma"/>
            <family val="2"/>
          </rPr>
          <t xml:space="preserve">Tunai PIC - Tuliskan nama PIC penerima uang
Transfer Vendor - Tuliskan nama vendor sesuai invoice 
</t>
        </r>
      </text>
    </comment>
    <comment ref="K14" authorId="1" shapeId="0">
      <text>
        <r>
          <rPr>
            <b/>
            <sz val="9"/>
            <color indexed="81"/>
            <rFont val="Tahoma"/>
            <family val="2"/>
          </rPr>
          <t>BPPPK:</t>
        </r>
        <r>
          <rPr>
            <sz val="9"/>
            <color indexed="81"/>
            <rFont val="Tahoma"/>
            <family val="2"/>
          </rPr>
          <t xml:space="preserve">
Tuliskan indikator kesuksesan dari kegiatan yang dilaksanakan.</t>
        </r>
      </text>
    </comment>
    <comment ref="C29" authorId="1" shapeId="0">
      <text>
        <r>
          <rPr>
            <b/>
            <sz val="9"/>
            <color indexed="81"/>
            <rFont val="Tahoma"/>
            <family val="2"/>
          </rPr>
          <t>BPPPK:</t>
        </r>
        <r>
          <rPr>
            <sz val="9"/>
            <color indexed="81"/>
            <rFont val="Tahoma"/>
            <family val="2"/>
          </rPr>
          <t xml:space="preserve">
Khusus untuk pengajuan Program Studi, jika kegiatan diusulkan dari Fakultas maka bagian ini dapat dihapuskan</t>
        </r>
      </text>
    </comment>
  </commentList>
</comments>
</file>

<file path=xl/comments8.xml><?xml version="1.0" encoding="utf-8"?>
<comments xmlns="http://schemas.openxmlformats.org/spreadsheetml/2006/main">
  <authors>
    <author>ADR</author>
    <author>Prita Ika Dewi, STP</author>
  </authors>
  <commentList>
    <comment ref="B8" authorId="0" shapeId="0">
      <text>
        <r>
          <rPr>
            <b/>
            <sz val="9"/>
            <color indexed="81"/>
            <rFont val="Tahoma"/>
            <family val="2"/>
          </rPr>
          <t>BPPPK:</t>
        </r>
        <r>
          <rPr>
            <sz val="9"/>
            <color indexed="81"/>
            <rFont val="Tahoma"/>
            <family val="2"/>
          </rPr>
          <t xml:space="preserve">
</t>
        </r>
        <r>
          <rPr>
            <sz val="12"/>
            <color indexed="81"/>
            <rFont val="Tahoma"/>
            <family val="2"/>
          </rPr>
          <t>Diisi oleh Bagian Keuangan - dengan stempel</t>
        </r>
      </text>
    </comment>
    <comment ref="B9" authorId="0" shapeId="0">
      <text>
        <r>
          <rPr>
            <b/>
            <sz val="9"/>
            <color indexed="81"/>
            <rFont val="Tahoma"/>
            <family val="2"/>
          </rPr>
          <t>BPPPK:</t>
        </r>
        <r>
          <rPr>
            <sz val="9"/>
            <color indexed="81"/>
            <rFont val="Tahoma"/>
            <family val="2"/>
          </rPr>
          <t xml:space="preserve">
</t>
        </r>
        <r>
          <rPr>
            <sz val="10"/>
            <color indexed="81"/>
            <rFont val="Tahoma"/>
            <family val="2"/>
          </rPr>
          <t>Format Nomor FPA adalah :
[NoUrutFPA di unit]/FPA (sesuai jenisnya)/[Periode RKATR]/[Singkatan Nama Unit]</t>
        </r>
      </text>
    </comment>
    <comment ref="B10" authorId="1" shapeId="0">
      <text>
        <r>
          <rPr>
            <b/>
            <sz val="9"/>
            <color indexed="81"/>
            <rFont val="Tahoma"/>
            <family val="2"/>
          </rPr>
          <t xml:space="preserve">BPPPK:
</t>
        </r>
        <r>
          <rPr>
            <sz val="9"/>
            <color indexed="81"/>
            <rFont val="Tahoma"/>
            <family val="2"/>
          </rPr>
          <t>Masukkan nomor Memo Pengajuan dari Unit</t>
        </r>
      </text>
    </comment>
    <comment ref="B12" authorId="1" shapeId="0">
      <text>
        <r>
          <rPr>
            <b/>
            <sz val="9"/>
            <color indexed="81"/>
            <rFont val="Tahoma"/>
            <family val="2"/>
          </rPr>
          <t>BPPPK:</t>
        </r>
        <r>
          <rPr>
            <sz val="9"/>
            <color indexed="81"/>
            <rFont val="Tahoma"/>
            <family val="2"/>
          </rPr>
          <t xml:space="preserve">
Pastikan mata anggaran yang dipilih sesuai dengan yang diajukan pada RKATR</t>
        </r>
      </text>
    </comment>
    <comment ref="A14" authorId="1" shapeId="0">
      <text>
        <r>
          <rPr>
            <b/>
            <sz val="9"/>
            <color indexed="81"/>
            <rFont val="Tahoma"/>
            <family val="2"/>
          </rPr>
          <t>BPPPK:</t>
        </r>
        <r>
          <rPr>
            <sz val="9"/>
            <color indexed="81"/>
            <rFont val="Tahoma"/>
            <family val="2"/>
          </rPr>
          <t xml:space="preserve">
Harap melakukan pengecekan RKATR, nama kegiatan harus sama dengan kegiatan yang sudah diajukan dalam RKATR</t>
        </r>
      </text>
    </comment>
    <comment ref="E14" authorId="1" shapeId="0">
      <text>
        <r>
          <rPr>
            <b/>
            <sz val="9"/>
            <color indexed="81"/>
            <rFont val="Tahoma"/>
            <family val="2"/>
          </rPr>
          <t>BPPPK:</t>
        </r>
        <r>
          <rPr>
            <sz val="9"/>
            <color indexed="81"/>
            <rFont val="Tahoma"/>
            <family val="2"/>
          </rPr>
          <t xml:space="preserve">
Mohon satuan memperhatikan satuan yang ada pada RKATR untuk kegiatan tersebut.</t>
        </r>
      </text>
    </comment>
    <comment ref="J14" authorId="1" shapeId="0">
      <text>
        <r>
          <rPr>
            <b/>
            <sz val="9"/>
            <color indexed="81"/>
            <rFont val="Tahoma"/>
            <family val="2"/>
          </rPr>
          <t xml:space="preserve">BPPPK:
</t>
        </r>
        <r>
          <rPr>
            <sz val="9"/>
            <color indexed="81"/>
            <rFont val="Tahoma"/>
            <family val="2"/>
          </rPr>
          <t xml:space="preserve">Tunai PIC - Tuliskan nama PIC penerima uang
Transfer Vendor - Tuliskan nama vendor sesuai invoice 
</t>
        </r>
      </text>
    </comment>
    <comment ref="K14" authorId="1" shapeId="0">
      <text>
        <r>
          <rPr>
            <b/>
            <sz val="9"/>
            <color indexed="81"/>
            <rFont val="Tahoma"/>
            <family val="2"/>
          </rPr>
          <t>BPPPK:</t>
        </r>
        <r>
          <rPr>
            <sz val="9"/>
            <color indexed="81"/>
            <rFont val="Tahoma"/>
            <family val="2"/>
          </rPr>
          <t xml:space="preserve">
Tuliskan indikator kesuksesan dari kegiatan yang dilaksanakan.</t>
        </r>
      </text>
    </comment>
  </commentList>
</comments>
</file>

<file path=xl/comments9.xml><?xml version="1.0" encoding="utf-8"?>
<comments xmlns="http://schemas.openxmlformats.org/spreadsheetml/2006/main">
  <authors>
    <author>ADR</author>
    <author>Prita Ika Dewi, STP</author>
  </authors>
  <commentList>
    <comment ref="B8" authorId="0" shapeId="0">
      <text>
        <r>
          <rPr>
            <b/>
            <sz val="9"/>
            <color indexed="81"/>
            <rFont val="Tahoma"/>
            <family val="2"/>
          </rPr>
          <t>BPPPK:</t>
        </r>
        <r>
          <rPr>
            <sz val="9"/>
            <color indexed="81"/>
            <rFont val="Tahoma"/>
            <family val="2"/>
          </rPr>
          <t xml:space="preserve">
</t>
        </r>
        <r>
          <rPr>
            <sz val="12"/>
            <color indexed="81"/>
            <rFont val="Tahoma"/>
            <family val="2"/>
          </rPr>
          <t>Diisi oleh Bagian Keuangan - dengan stempel</t>
        </r>
      </text>
    </comment>
    <comment ref="B9" authorId="0" shapeId="0">
      <text>
        <r>
          <rPr>
            <b/>
            <sz val="9"/>
            <color indexed="81"/>
            <rFont val="Tahoma"/>
            <family val="2"/>
          </rPr>
          <t>BPPPK:</t>
        </r>
        <r>
          <rPr>
            <sz val="9"/>
            <color indexed="81"/>
            <rFont val="Tahoma"/>
            <family val="2"/>
          </rPr>
          <t xml:space="preserve">
</t>
        </r>
        <r>
          <rPr>
            <sz val="10"/>
            <color indexed="81"/>
            <rFont val="Tahoma"/>
            <family val="2"/>
          </rPr>
          <t>Format Nomor FPA adalah :
[NoUrutFPA di unit]/FPA (sesuai jenisnya)/[Periode RKATR]/[Singkatan Nama Unit]</t>
        </r>
      </text>
    </comment>
    <comment ref="A12" authorId="1" shapeId="0">
      <text>
        <r>
          <rPr>
            <b/>
            <sz val="9"/>
            <color indexed="81"/>
            <rFont val="Tahoma"/>
            <family val="2"/>
          </rPr>
          <t>BPPPK:</t>
        </r>
        <r>
          <rPr>
            <sz val="9"/>
            <color indexed="81"/>
            <rFont val="Tahoma"/>
            <family val="2"/>
          </rPr>
          <t xml:space="preserve">
Harap melakukan pengecekan RKATR, nama kegiatan harus sama dengan kegiatan yang sudah diajukan dalam RKATR</t>
        </r>
      </text>
    </comment>
    <comment ref="E12" authorId="1" shapeId="0">
      <text>
        <r>
          <rPr>
            <b/>
            <sz val="9"/>
            <color indexed="81"/>
            <rFont val="Tahoma"/>
            <family val="2"/>
          </rPr>
          <t>BPPPK:</t>
        </r>
        <r>
          <rPr>
            <sz val="9"/>
            <color indexed="81"/>
            <rFont val="Tahoma"/>
            <family val="2"/>
          </rPr>
          <t xml:space="preserve">
Mohon satuan memperhatikan satuan yang ada pada RKATR untuk kegiatan tersebut.</t>
        </r>
      </text>
    </comment>
    <comment ref="J12" authorId="1" shapeId="0">
      <text>
        <r>
          <rPr>
            <b/>
            <sz val="9"/>
            <color indexed="81"/>
            <rFont val="Tahoma"/>
            <family val="2"/>
          </rPr>
          <t xml:space="preserve">BPPPK:
</t>
        </r>
        <r>
          <rPr>
            <sz val="9"/>
            <color indexed="81"/>
            <rFont val="Tahoma"/>
            <family val="2"/>
          </rPr>
          <t xml:space="preserve">Tunai PIC - Tuliskan nama PIC penerima uang
Transfer Vendor - Tuliskan nama vendor sesuai invoice 
</t>
        </r>
      </text>
    </comment>
    <comment ref="K12" authorId="1" shapeId="0">
      <text>
        <r>
          <rPr>
            <b/>
            <sz val="9"/>
            <color indexed="81"/>
            <rFont val="Tahoma"/>
            <family val="2"/>
          </rPr>
          <t>BPPPK:</t>
        </r>
        <r>
          <rPr>
            <sz val="9"/>
            <color indexed="81"/>
            <rFont val="Tahoma"/>
            <family val="2"/>
          </rPr>
          <t xml:space="preserve">
Tuliskan indikator kesuksesan dari kegiatan yang dilaksanakan.</t>
        </r>
      </text>
    </comment>
  </commentList>
</comments>
</file>

<file path=xl/comments10.xml><?xml version="1.0" encoding="utf-8"?>
<comments xmlns="http://schemas.openxmlformats.org/spreadsheetml/2006/main">
  <authors>
    <author>ADR</author>
    <author>Prita Ika Dewi, STP</author>
  </authors>
  <commentList>
    <comment ref="B9" authorId="0" shapeId="0">
      <text>
        <r>
          <rPr>
            <b/>
            <sz val="9"/>
            <color indexed="81"/>
            <rFont val="Tahoma"/>
            <family val="2"/>
          </rPr>
          <t>BPPPK:</t>
        </r>
        <r>
          <rPr>
            <sz val="9"/>
            <color indexed="81"/>
            <rFont val="Tahoma"/>
            <family val="2"/>
          </rPr>
          <t xml:space="preserve">
</t>
        </r>
        <r>
          <rPr>
            <sz val="12"/>
            <color indexed="81"/>
            <rFont val="Tahoma"/>
            <family val="2"/>
          </rPr>
          <t>Diisi oleh Bagian Keuangan - dengan stempel</t>
        </r>
      </text>
    </comment>
    <comment ref="B10" authorId="0" shapeId="0">
      <text>
        <r>
          <rPr>
            <b/>
            <sz val="9"/>
            <color indexed="81"/>
            <rFont val="Tahoma"/>
            <family val="2"/>
          </rPr>
          <t>BPPPK:</t>
        </r>
        <r>
          <rPr>
            <sz val="9"/>
            <color indexed="81"/>
            <rFont val="Tahoma"/>
            <family val="2"/>
          </rPr>
          <t xml:space="preserve">
</t>
        </r>
        <r>
          <rPr>
            <sz val="10"/>
            <color indexed="81"/>
            <rFont val="Tahoma"/>
            <family val="2"/>
          </rPr>
          <t>Format Nomor FPA adalah :
[NoUrutFPA di unit]/FPA (sesuai jenisnya)/[Periode RKATR]/[Singkatan Nama Unit]</t>
        </r>
      </text>
    </comment>
    <comment ref="A12" authorId="1" shapeId="0">
      <text>
        <r>
          <rPr>
            <b/>
            <sz val="9"/>
            <color indexed="81"/>
            <rFont val="Tahoma"/>
            <family val="2"/>
          </rPr>
          <t>BPPPK:</t>
        </r>
        <r>
          <rPr>
            <sz val="9"/>
            <color indexed="81"/>
            <rFont val="Tahoma"/>
            <family val="2"/>
          </rPr>
          <t xml:space="preserve">
Harap menyesuaikan dengan RAB Proposal Hibah yang diserahkan bersamaan dengan pengajuan FPA-HD yang pertama kali.</t>
        </r>
      </text>
    </comment>
    <comment ref="E12" authorId="1" shapeId="0">
      <text>
        <r>
          <rPr>
            <b/>
            <sz val="9"/>
            <color indexed="81"/>
            <rFont val="Tahoma"/>
            <family val="2"/>
          </rPr>
          <t>BPPPK:</t>
        </r>
        <r>
          <rPr>
            <sz val="9"/>
            <color indexed="81"/>
            <rFont val="Tahoma"/>
            <family val="2"/>
          </rPr>
          <t xml:space="preserve">
Mohon satuan memperhatikan satuan yang ada pada RKATR untuk kegiatan tersebut.</t>
        </r>
      </text>
    </comment>
    <comment ref="J12" authorId="1" shapeId="0">
      <text>
        <r>
          <rPr>
            <b/>
            <sz val="9"/>
            <color indexed="81"/>
            <rFont val="Tahoma"/>
            <family val="2"/>
          </rPr>
          <t xml:space="preserve">BPPPK:
</t>
        </r>
        <r>
          <rPr>
            <sz val="9"/>
            <color indexed="81"/>
            <rFont val="Tahoma"/>
            <family val="2"/>
          </rPr>
          <t xml:space="preserve">Tunai PIC - Tuliskan nama PIC penerima uang
Transfer Vendor - Tuliskan nama vendor sesuai invoice 
</t>
        </r>
      </text>
    </comment>
    <comment ref="K12" authorId="1" shapeId="0">
      <text>
        <r>
          <rPr>
            <b/>
            <sz val="9"/>
            <color indexed="81"/>
            <rFont val="Tahoma"/>
            <family val="2"/>
          </rPr>
          <t>BPPPK:</t>
        </r>
        <r>
          <rPr>
            <sz val="9"/>
            <color indexed="81"/>
            <rFont val="Tahoma"/>
            <family val="2"/>
          </rPr>
          <t xml:space="preserve">
Tuliskan indikator kesuksesan dari kegiatan yang dilaksanakan.</t>
        </r>
      </text>
    </comment>
    <comment ref="A34" authorId="1" shapeId="0">
      <text>
        <r>
          <rPr>
            <b/>
            <sz val="9"/>
            <color indexed="81"/>
            <rFont val="Tahoma"/>
            <family val="2"/>
          </rPr>
          <t>BPPPK:</t>
        </r>
        <r>
          <rPr>
            <sz val="9"/>
            <color indexed="81"/>
            <rFont val="Tahoma"/>
            <family val="2"/>
          </rPr>
          <t xml:space="preserve">
Sebutkan nama hibah</t>
        </r>
      </text>
    </comment>
    <comment ref="C34" authorId="1" shapeId="0">
      <text>
        <r>
          <rPr>
            <b/>
            <sz val="9"/>
            <color indexed="81"/>
            <rFont val="Tahoma"/>
            <family val="2"/>
          </rPr>
          <t>BPPPK:</t>
        </r>
        <r>
          <rPr>
            <sz val="9"/>
            <color indexed="81"/>
            <rFont val="Tahoma"/>
            <family val="2"/>
          </rPr>
          <t xml:space="preserve">
sebutkan nama hibah</t>
        </r>
      </text>
    </comment>
  </commentList>
</comments>
</file>

<file path=xl/sharedStrings.xml><?xml version="1.0" encoding="utf-8"?>
<sst xmlns="http://schemas.openxmlformats.org/spreadsheetml/2006/main" count="2372" uniqueCount="1202">
  <si>
    <t>ID</t>
  </si>
  <si>
    <t>Jenis</t>
  </si>
  <si>
    <t>Kategori MAK</t>
  </si>
  <si>
    <t>Kode Mata Anggaran</t>
  </si>
  <si>
    <t xml:space="preserve">Mata Anggaran </t>
  </si>
  <si>
    <t>kode mata anggaran</t>
  </si>
  <si>
    <t>Deskripsi</t>
  </si>
  <si>
    <t>Status</t>
  </si>
  <si>
    <t>OPL</t>
  </si>
  <si>
    <t>Perkuliahan</t>
  </si>
  <si>
    <t>OPL00131</t>
  </si>
  <si>
    <t>Matrikulasi</t>
  </si>
  <si>
    <t>OPL00131-Matrikulasi</t>
  </si>
  <si>
    <t>Proses pembekalan untuk mengupayakan penyetaraan kemampuan mahasiswa baru agar memiliki pemahaman dasar yang sama terkait hal-hal yang akan dipelajari dalam program studinya.
Matrikulasi merupakan bagian dari kurikulum dan mendapatkan pengesahan dari Dekan.</t>
  </si>
  <si>
    <t>Aktif</t>
  </si>
  <si>
    <t>OPL001321</t>
  </si>
  <si>
    <t>Perkuliahan di Kelas  Perkuliahan diampu Dosen Tetap</t>
  </si>
  <si>
    <t>OPL001321-Perkuliahan di Kelas  Perkuliahan diampu Dosen Tetap</t>
  </si>
  <si>
    <t>Perkuliahan yang diampu oleh dosen tetap Universitas (baik dosen tetap maupun dosen dalam masa KKWT)</t>
  </si>
  <si>
    <t>OPL001322</t>
  </si>
  <si>
    <t>Perkuliahan di Kelas  Perkuliahan diampu Dosen Luar Biasa</t>
  </si>
  <si>
    <t>OPL001322-Perkuliahan di Kelas  Perkuliahan diampu Dosen Luar Biasa</t>
  </si>
  <si>
    <t>Perkuliahan yang diampu oleh dosen/praktisi dari luar UMC.</t>
  </si>
  <si>
    <t>OPL001323</t>
  </si>
  <si>
    <t>Perkuliahan di Kelas  Perkuliahan dibantu oleh Asisten Dosen (Non Mahasiswa/Tenaga Kependidikan)</t>
  </si>
  <si>
    <t>OPL001323-Perkuliahan di Kelas  Perkuliahan dibantu oleh Asisten Dosen (Non Mahasiswa/Tenaga Kependidikan)</t>
  </si>
  <si>
    <t>Perkuliahan dibantu oleh Asisten Dosen yang bukan mahasiswa (tenaga kependidikan universitas atau lulusan)</t>
  </si>
  <si>
    <t>OPL001324</t>
  </si>
  <si>
    <t>Perkuliahan di Kelas  Perkuliahan dibantu oleh Asisten Dosen (Mahasiswa)</t>
  </si>
  <si>
    <t>OPL001324-Perkuliahan di Kelas  Perkuliahan dibantu oleh Asisten Dosen (Mahasiswa)</t>
  </si>
  <si>
    <t>Perkuliahan dibantu oleh Asisten Dosen yang berstatus mahasiswa</t>
  </si>
  <si>
    <t>OPL001331</t>
  </si>
  <si>
    <t>Perkuliahan di Laboratorium Perkuliahan diampu Dosen Tetap</t>
  </si>
  <si>
    <t>OPL001331-Perkuliahan di Laboratorium Perkuliahan diampu Dosen Tetap</t>
  </si>
  <si>
    <t>OPL001332</t>
  </si>
  <si>
    <t>Perkuliahan di Laboratorium Perkuliahan diampu Dosen Luar Biasa</t>
  </si>
  <si>
    <t>OPL001332-Perkuliahan di Laboratorium Perkuliahan diampu Dosen Luar Biasa</t>
  </si>
  <si>
    <t>Perkuliahan di Laboratorium</t>
  </si>
  <si>
    <t>OPL001333</t>
  </si>
  <si>
    <t>Perkuliahan di Laboratorium Perkuliahan dibantu oleh Asisten Dosen (Non Mahasiswa/Tenaga Kependidikan)</t>
  </si>
  <si>
    <t>OPL001333-Perkuliahan di Laboratorium Perkuliahan dibantu oleh Asisten Dosen (Non Mahasiswa/Tenaga Kependidikan)</t>
  </si>
  <si>
    <t>Perkuliahan dibantu oleh Asisten Dosen yang bukan mahasiswa (tenaga kependidikan  universitas atau lulusan)</t>
  </si>
  <si>
    <t>OPL001334</t>
  </si>
  <si>
    <t>Perkuliahan di Laboratorium Perkuliahan dibantu oleh Asisten Dosen (Mahasiswa)</t>
  </si>
  <si>
    <t>OPL001334-Perkuliahan di Laboratorium Perkuliahan dibantu oleh Asisten Dosen (Mahasiswa)</t>
  </si>
  <si>
    <t>OPL00136</t>
  </si>
  <si>
    <t>Kuliah Tamu</t>
  </si>
  <si>
    <t>OPL00136-Kuliah Tamu</t>
  </si>
  <si>
    <t>Kegiatan perkuliahan yang merupakan bagian dari kegiatan tatap muka, namun dilaksanakan dengan mengundang pakar/praktisi di bidang tertentu yang diharapkan dapat memberikan wawasan lebih kepada mahasiswa. Dengan jumlah peserta minimal 90 mahasiswa.
Pembicara kuliah tamu bukan dosen tetap Program Studi penyelenggara.</t>
  </si>
  <si>
    <t>OPL00138</t>
  </si>
  <si>
    <t>Perkuliahan Mahasiswa UMC Di Luar Negeri</t>
  </si>
  <si>
    <t>OPL00138-Perkuliahan Mahasiswa UMC Di Luar Negeri</t>
  </si>
  <si>
    <t>Pelaksanaan kegiatan perkuliahan mahasiswa UMC di Luar Negeri sebagai konsekuensi dari kerjasama antar institusi.</t>
  </si>
  <si>
    <t>Evaluasi per Semester</t>
  </si>
  <si>
    <t>OPL00141</t>
  </si>
  <si>
    <t>Pengelolaan Ujian Akhir Semester</t>
  </si>
  <si>
    <t>OPL00141-Pengelolaan Ujian Akhir Semester</t>
  </si>
  <si>
    <t xml:space="preserve">Pengelolaan kegiatan UAS yang dilakukan di aras Universitas bekerja sama dengan fakultas.
Proses pengelolaan kegiatan UAS dilakukan melalui alokasi sumber daya menjelang UAS untuk melakukan proses persiapan </t>
  </si>
  <si>
    <t>OPL00142</t>
  </si>
  <si>
    <t>Penyelenggaraan UAS</t>
  </si>
  <si>
    <t>OPL00142-Penyelenggaraan UAS</t>
  </si>
  <si>
    <t>Pengadaan soal, lembar jawaban, buram dan amplop. Asumsi untuk 30 mahasiswa per kelas. Pengeluaran berupa biaya ATK untuk penyelenggaraan UAS.</t>
  </si>
  <si>
    <t>Tugas Akhir</t>
  </si>
  <si>
    <t>OPL00165</t>
  </si>
  <si>
    <t>Ujian OSCE</t>
  </si>
  <si>
    <t>OPL00165-Ujian OSCE</t>
  </si>
  <si>
    <t>Merupakan ujian kompetensi bagi mahasiswa Program Profesi Apoteker dengan metode Computer Based Test</t>
  </si>
  <si>
    <t>OPL00166</t>
  </si>
  <si>
    <t>Ujian CBT</t>
  </si>
  <si>
    <t>OPL00166-Ujian CBT</t>
  </si>
  <si>
    <t>Merupakan ujian kompetensi bagi mahasiswa Program Profesi Apoteker dengan metode Objective Structure Clinical Examination</t>
  </si>
  <si>
    <t>Yudisium dan Wisuda</t>
  </si>
  <si>
    <t>OPL00171</t>
  </si>
  <si>
    <t>Yudisium</t>
  </si>
  <si>
    <t>OPL00171-Yudisium</t>
  </si>
  <si>
    <t xml:space="preserve">Merupakan kegiatan seremonial resmi di aras fakultas untuk mengumumkan nilai kepada mahasiswa, menetapkan nilai dalam transkrip akademik serta memutuskan lulus atau tidaknya mahasiswa dalam menempuh studi selama jangka waktu tertentu. </t>
  </si>
  <si>
    <t>OPL00172</t>
  </si>
  <si>
    <t>Wisuda</t>
  </si>
  <si>
    <t>OPL00172-Wisuda</t>
  </si>
  <si>
    <t>Merupakan kegiatan seremonial resmi yang menandakan pengukuhan atas selesainya studi dan diadakan proses pelantikan melalui Sidang Terbuka Senat di aras Universitas.</t>
  </si>
  <si>
    <t>OPL00173</t>
  </si>
  <si>
    <t>Upacara dan Sumpah Profesi Apoteker</t>
  </si>
  <si>
    <t>OPL00173-Upacara dan Sumpah Profesi Apoteker</t>
  </si>
  <si>
    <t>Merupakan kegiatan seremonial resmi yang menandakan pengukuhan atas selesainya studi di PSPPA  dan diadakan proses pelantikan sebagai Apoteker</t>
  </si>
  <si>
    <t>Penyediaan Sarana Prasarana Perkuliahan</t>
  </si>
  <si>
    <t>OPL00181</t>
  </si>
  <si>
    <t>Bahan Habis Pakai Laboratorium Kimia dan Farmasi</t>
  </si>
  <si>
    <t>OPL00181-Bahan Habis Pakai Laboratorium Kimia dan Farmasi</t>
  </si>
  <si>
    <t>Penyediaan bahan habis pakai yang dibutuhkan untuk perkuliahan di laboratorium.</t>
  </si>
  <si>
    <t>OPL00182</t>
  </si>
  <si>
    <t>Bahan Perkuliahan Praktik</t>
  </si>
  <si>
    <t>OPL00182-Bahan Perkuliahan Praktik</t>
  </si>
  <si>
    <t>Penyediaan bahan habis pakai untuk praktikum selain bahan kimia/farmasi.</t>
  </si>
  <si>
    <t>OPL00183</t>
  </si>
  <si>
    <t>Langganan Daya dan Jasa Perkuliahan (listrik, air, dll)</t>
  </si>
  <si>
    <t>OPL00183-Langganan Daya dan Jasa Perkuliahan (listrik, air, dll)</t>
  </si>
  <si>
    <t>Daya dan jasa perkuliahan yang dibutuhkan untuk setiap SKSsesi perkuliahan yang dilaksanakan di dalam universitas.</t>
  </si>
  <si>
    <t>OPL00184</t>
  </si>
  <si>
    <t>Kebersihan Ruang Kuliah/Laboratorium</t>
  </si>
  <si>
    <t>OPL00184-Kebersihan Ruang Kuliah/Laboratorium</t>
  </si>
  <si>
    <t>Jasa Kebersihan Ruangan Kelas dan Laboratorium yang digunakan dalam perkuliahan.</t>
  </si>
  <si>
    <t>OPL00185</t>
  </si>
  <si>
    <t xml:space="preserve">Langganan Daya/Jasa Internet </t>
  </si>
  <si>
    <t xml:space="preserve">OPL00185-Langganan Daya/Jasa Internet </t>
  </si>
  <si>
    <t>Penyediaan sarana internet untuk digunakan di gedung perkuliahan.</t>
  </si>
  <si>
    <t>OPL00186</t>
  </si>
  <si>
    <t>Pemeliharaan sarana/alat perkuliahan</t>
  </si>
  <si>
    <t>OPL00186-Pemeliharaan sarana/alat perkuliahan</t>
  </si>
  <si>
    <t>Pemeliharaan sarana dan prasarana perkuliahan yang ada di dalam ruang kelas, di Gedung Bhakti Persada.</t>
  </si>
  <si>
    <t>OPL00187</t>
  </si>
  <si>
    <t>Pemeliharaan sarana/alat laboratorium</t>
  </si>
  <si>
    <t>OPL00187-Pemeliharaan sarana/alat laboratorium</t>
  </si>
  <si>
    <t>Cukup jelas</t>
  </si>
  <si>
    <t>OPL00188</t>
  </si>
  <si>
    <t>Pemeliharaan bangunan perkuliahan</t>
  </si>
  <si>
    <t>OPL00188-Pemeliharaan bangunan perkuliahan</t>
  </si>
  <si>
    <t>Pemeliharaan bangunan perkuliahan (Gedung Bhakti Persada)</t>
  </si>
  <si>
    <t>Pembinaan Mahasiswa Baru</t>
  </si>
  <si>
    <t>OPL00211</t>
  </si>
  <si>
    <t>Ma Chung Festival</t>
  </si>
  <si>
    <t>OPL00211-Ma Chung Festival</t>
  </si>
  <si>
    <t>Ma Chung Festival merupakan kegiatan penyambutan mahasiswa baru UMC, dengan serangkaian kegiatan yang dilaksanakan oleh Panitia MCF, di bawah koordinasi BKAPK.
MCF dapat terdiri atas beberapa aktivitas, dan dapat dipertanggungjawabkan per masing-masing kegiatan.
MCF juga mencakup pengadaan Official Outfit untuk mahasiswa berupa jas almamater dan kaos UMC (koordinasi oleh BKU).</t>
  </si>
  <si>
    <t>OPL00212</t>
  </si>
  <si>
    <t>Pembinaan Karakter Mahasiswa Baru</t>
  </si>
  <si>
    <t>OPL00212-Pembinaan Karakter Mahasiswa Baru</t>
  </si>
  <si>
    <t>Kegiatan pembinaan karakter untuk mahasiswa baru, yang berfokus pada pengenalan nilai-nilai Ma Chung dan pembentukan karakter baik dari mahasiswa sebagai insan akademik. 
Kegiatan ini dikoordinasikan oleh Pusat Pendikar.</t>
  </si>
  <si>
    <t>Pembinaan Mahasiswa</t>
  </si>
  <si>
    <t>OPL00221</t>
  </si>
  <si>
    <t>Kegiatan pembekalan/pengayaan Calon Alumni</t>
  </si>
  <si>
    <t>OPL00221-Kegiatan pembekalan/pengayaan Calon Alumni</t>
  </si>
  <si>
    <t>Kegiatan persiapan calon alumni untuk dapat memasuki dunia kerja secara lebih baik, dan memiliki daya saing lebih tinggi dibandingkan dengan lulusan PT lainnya.
Kegiatan ini dikoordinasikan oleh Pusat Karir (BKAPK)</t>
  </si>
  <si>
    <t>OPL00222</t>
  </si>
  <si>
    <t>Kegiatan pembinaan karakter mahasiswa</t>
  </si>
  <si>
    <t>OPL00222-Kegiatan pembinaan karakter mahasiswa</t>
  </si>
  <si>
    <t>Kegiatan pembinaan karakter untuk mahasiswa tahun ke-2 dan seterusnya, untuk membentuk karakter yang baik, serta menanamkan nilai-nilai Ma Chung.
Kegiatan dikoordinasikan oleh Pusat Pendidikan Karakter dan MKU</t>
  </si>
  <si>
    <t>Kegiatan Kemahasiswaan</t>
  </si>
  <si>
    <t>OPL00231</t>
  </si>
  <si>
    <t>Kegiatan ilmiah mahasiswa (PKM)</t>
  </si>
  <si>
    <t>OPL00231-Kegiatan ilmiah mahasiswa (PKM)</t>
  </si>
  <si>
    <t>Reward yang diberikan kepada dosen yang berhasil membimbing kelompok mahasiswa yang lolos dalam seleksi PKM untuk didanai.</t>
  </si>
  <si>
    <t>OPL00232</t>
  </si>
  <si>
    <t>Sertifikasi Bahasa Inggris</t>
  </si>
  <si>
    <t>OPL00232-Sertifikasi Bahasa Inggris</t>
  </si>
  <si>
    <t>Sertifikasi TOEIC untuk mahasiswa semester akhir UMC, sebagai salah satu kompetensi lulusan yang dijanjikan oleh UMC.</t>
  </si>
  <si>
    <t>OPL00233</t>
  </si>
  <si>
    <t>Sertifikasi Bahasa Tionghoa</t>
  </si>
  <si>
    <t>OPL00233-Sertifikasi Bahasa Tionghoa</t>
  </si>
  <si>
    <t>Sertifikasi HSK untuk mahasiswa semester akhir UMC, sebagai salah satu kompetensi lulusan yang dijanjikan oleh UMC.</t>
  </si>
  <si>
    <t>OPL002341</t>
  </si>
  <si>
    <t>Sertifikasi Teknologi Informasi dan Komunikasi (CAIA, PMA/PMR. CSCA/CASC)</t>
  </si>
  <si>
    <t>OPL002341-Sertifikasi Teknologi Informasi dan Komunikasi (CAIA, PMA/PMR. CSCA/CASC)</t>
  </si>
  <si>
    <t>Sertifikasi bidang TIK sesuai dengan kepakaran prodi, untuk mahasiswa semester akhir UMC, sebagai salah satu kompetensi dalam TIK.</t>
  </si>
  <si>
    <t>OPL002342</t>
  </si>
  <si>
    <t>Sertifikasi Teknologi Informasi dan Komunikasi (Microsoft Office)</t>
  </si>
  <si>
    <t>OPL002342-Sertifikasi Teknologi Informasi dan Komunikasi (Microsoft Office)</t>
  </si>
  <si>
    <t>Sertifikasi Microsoft Office untuk mahasiswa semester akhir UMC, sebagai salah satu kompetensi dalam TIK.</t>
  </si>
  <si>
    <t>OPL00235</t>
  </si>
  <si>
    <t>Keikutsertaan mahasiswa dalam Seminar/Kegiatan Nasional</t>
  </si>
  <si>
    <t>OPL00235-Keikutsertaan mahasiswa dalam Seminar/Kegiatan Nasional</t>
  </si>
  <si>
    <t>Kepesertaan mahasiswa dalam seminar atau kegiatan nasional lainnya yang meningkatkan pengetahuan serta jejaring mahasiswa.</t>
  </si>
  <si>
    <t>OPL00236</t>
  </si>
  <si>
    <t>Keikutsertaan mahasiswa dalam Seminar/Kegiatan Internasional</t>
  </si>
  <si>
    <t>OPL00236-Keikutsertaan mahasiswa dalam Seminar/Kegiatan Internasional</t>
  </si>
  <si>
    <t>Kepesertaan mahasiswa dalam seminar atau kegiatan internasional lainnya yang meningkatkan pengetahuan serta jejaring mahasiswa.</t>
  </si>
  <si>
    <t>OPL00237</t>
  </si>
  <si>
    <t>Keikutsertaan dalam Kompetisi/Perlombaan Regional</t>
  </si>
  <si>
    <t>OPL00237-Keikutsertaan dalam Kompetisi/Perlombaan Regional</t>
  </si>
  <si>
    <t>Keikutsertaaan mahasiswa dalam kompetisi regional, baik untuk kegiatan akademik maupun kegiatan non akademik.</t>
  </si>
  <si>
    <t>OPL00238</t>
  </si>
  <si>
    <t>Keikutsertaan dalam Kompetisi/Perlombaan Nasional</t>
  </si>
  <si>
    <t>OPL00238-Keikutsertaan dalam Kompetisi/Perlombaan Nasional</t>
  </si>
  <si>
    <t>Keikutsertaaan mahasiswa dalam kompetisi nasional, baik untuk kegiatan akademik maupun kegiatan non akademik.</t>
  </si>
  <si>
    <t>OPL00239</t>
  </si>
  <si>
    <t>Keikutsertaan dalam Kompetisi/Perlombaan Internasional</t>
  </si>
  <si>
    <t>OPL00239-Keikutsertaan dalam Kompetisi/Perlombaan Internasional</t>
  </si>
  <si>
    <t>Keikutsertaaan mahasiswa dalam kompetisi internasional, baik untuk kegiatan akademik maupun kegiatan non akademik.</t>
  </si>
  <si>
    <t>OPL002310</t>
  </si>
  <si>
    <t>Pendampingan dan Pembimbingan Mahasiswa Peserta Kompetisi atau Lomba di tingkat Regional</t>
  </si>
  <si>
    <t>OPL002310-Pendampingan dan Pembimbingan Mahasiswa Peserta Kompetisi atau Lomba di tingkat Regional</t>
  </si>
  <si>
    <t>Pendampingan oleh dosen/tendik untuk mahasiswa yang mengikuti kompetisi. Pendampingan harus ditunjuk oleh Dekan/Rektor dan disahkan dengan Surat Tugas.</t>
  </si>
  <si>
    <t>OPL002311</t>
  </si>
  <si>
    <t>Pendampingan dan Pembimbingan Mahasiswa Peserta Kompetisi atau Lomba di tingkat Nasional</t>
  </si>
  <si>
    <t>OPL002311-Pendampingan dan Pembimbingan Mahasiswa Peserta Kompetisi atau Lomba di tingkat Nasional</t>
  </si>
  <si>
    <t>OPL002312</t>
  </si>
  <si>
    <t>Pendampingan dan Pembimbingan Mahasiswa Peserta Kompetisi atau Lomba di tingkat Internasional</t>
  </si>
  <si>
    <t>OPL002312-Pendampingan dan Pembimbingan Mahasiswa Peserta Kompetisi atau Lomba di tingkat Internasional</t>
  </si>
  <si>
    <t>OPL002313</t>
  </si>
  <si>
    <t>Kegiatan Sosial Kemasyarakatan</t>
  </si>
  <si>
    <t>OPL002313-Kegiatan Sosial Kemasyarakatan</t>
  </si>
  <si>
    <t>Kegiatan untuk meningkatkan kepedulian sosial mahasiswa, serta meningkatkan kemampuan mahasiswa untuk bermasyarakat dan berkontribusi bagi masyarakat.</t>
  </si>
  <si>
    <t>OPL002314</t>
  </si>
  <si>
    <t>Kegiatan kemahasiswaan lainnya</t>
  </si>
  <si>
    <t>OPL002314-Kegiatan kemahasiswaan lainnya</t>
  </si>
  <si>
    <t>Kegiatan kemahasiswaan lain yang belum tercantum dalam SBU ini, dan diselenggarakan di aras fakultas, baik oleh fakultas maupun oleh lembaga kemahasiswaan di aras fakultas dan prodi.</t>
  </si>
  <si>
    <t>OPL00241</t>
  </si>
  <si>
    <t>Bantuan Biaya Operasional Organisasi Kemahasiswaan</t>
  </si>
  <si>
    <t>OPL00241-Bantuan Biaya Operasional Organisasi Kemahasiswaan</t>
  </si>
  <si>
    <t>Bantuan yang diberikan kepada organisasi kemahasiswaan untuk melaksanakan kegiatan operasionalnya.
Bantuan harus dipertanggungjawabkan oleh masing-masing unit, dan digunakan sesuai dengan SBU.
Dapat dianggarkan baik oleh Fakultas maupun BKAPK.</t>
  </si>
  <si>
    <t>Operasional Kemahasiswaan</t>
  </si>
  <si>
    <t>OPL00242</t>
  </si>
  <si>
    <t>Daya dan Jasa Kegiatan Mahasiswa</t>
  </si>
  <si>
    <t>OPL00242-Daya dan Jasa Kegiatan Mahasiswa</t>
  </si>
  <si>
    <t>Daya dan jasa kegiatan kemahasiswaan yang digunakan di gedung yang digunakan untuk kegiatan kemahasiswaan (Student Center)</t>
  </si>
  <si>
    <t>OPL00243</t>
  </si>
  <si>
    <t>Penyediaan Bahan /Sarana Kegiatan Kemahasiswaan</t>
  </si>
  <si>
    <t>OPL00243-Penyediaan Bahan /Sarana Kegiatan Kemahasiswaan</t>
  </si>
  <si>
    <t>Penyediaan bahan habis pakai atau sarana (peralatan) yang digunakan untuk melaksanakan kegiatan kemahasiswaan. Disediakan untuk LK yang membutuhkan bahan/sarana tertentu.</t>
  </si>
  <si>
    <t>OPL00244</t>
  </si>
  <si>
    <t>Pemeliharaan Sarana Prasarana Kemahasiswaan</t>
  </si>
  <si>
    <t>OPL00244-Pemeliharaan Sarana Prasarana Kemahasiswaan</t>
  </si>
  <si>
    <t>OPL00245</t>
  </si>
  <si>
    <t>Pemeliharaan Bangunan Kegiatan Kemahasiswaan</t>
  </si>
  <si>
    <t>OPL00245-Pemeliharaan Bangunan Kegiatan Kemahasiswaan</t>
  </si>
  <si>
    <t>Pemeliharaan bangunan untuk gedung Student Center dan Balai Pertiwi yang biasanya digunakan untuk kegiatan kemahasiswaan (ekstrakurikuler)</t>
  </si>
  <si>
    <t>Kegiatan Unit Kerja Pendukung (Sekretariat)</t>
  </si>
  <si>
    <t>OPL00251</t>
  </si>
  <si>
    <t>Bahan Habis Pakai dan Alat Tulis Kantor Sekretariat Fakultas</t>
  </si>
  <si>
    <t>OPL00251-Bahan Habis Pakai dan Alat Tulis Kantor Sekretariat Fakultas</t>
  </si>
  <si>
    <t>Bahan habis pakai dan ATK yang digunakan oleh Sekretariat Fakultas.</t>
  </si>
  <si>
    <t>OPL00254</t>
  </si>
  <si>
    <t>Pengiriman Dokumen/Paket Fakultas dan Program Studi</t>
  </si>
  <si>
    <t>OPL00254-Pengiriman Dokumen/Paket Fakultas dan Program Studi</t>
  </si>
  <si>
    <t>Biaya pengiriman dokumen/paket fakultas dan program studi</t>
  </si>
  <si>
    <t>Gaji dan Tunjangan Dosen dan Tendik Fakultas</t>
  </si>
  <si>
    <t>OPL00311</t>
  </si>
  <si>
    <t>Gaji / Tunjangan Dosen</t>
  </si>
  <si>
    <t>OPL00311-Gaji / Tunjangan Dosen</t>
  </si>
  <si>
    <t>Gaji dan tunjangan tetap yang diterimakan kepada dosen, tidak termasuk tunjangan jabatan (bagi dosen yang menjabat).</t>
  </si>
  <si>
    <t>OPL00312</t>
  </si>
  <si>
    <t>Gaji / Tunjangan Tenaga Kependidikan</t>
  </si>
  <si>
    <t>OPL00312-Gaji / Tunjangan Tenaga Kependidikan</t>
  </si>
  <si>
    <t>Gaji dan tunjangan tetap yang diterimakan kepada tenaga kependidikan Fakultas, tidak termasuk tunjangan jabatan (bagi tendik yang menjabat)</t>
  </si>
  <si>
    <t>OPL00313</t>
  </si>
  <si>
    <t>Tunjangan Hari Raya Dosen dan Tendik</t>
  </si>
  <si>
    <t>OPL00313-Tunjangan Hari Raya Dosen dan Tendik</t>
  </si>
  <si>
    <t>OPL00314</t>
  </si>
  <si>
    <t>Gaji/Tunjangan Dosen Rekrutmen</t>
  </si>
  <si>
    <t>OPL00314-Gaji/Tunjangan Dosen Rekrutmen</t>
  </si>
  <si>
    <t>OPL00315</t>
  </si>
  <si>
    <t>Gaji/Tunjangan Tendik Rekrutmen</t>
  </si>
  <si>
    <t>OPL00315-Gaji/Tunjangan Tendik Rekrutmen</t>
  </si>
  <si>
    <t>OPL00316</t>
  </si>
  <si>
    <t>Penetapan Pegawai Baru</t>
  </si>
  <si>
    <t>OPL00316-Penetapan Pegawai Baru</t>
  </si>
  <si>
    <t>OPL00317</t>
  </si>
  <si>
    <t>Penyesuaian Pangkat Berkala Pegawai</t>
  </si>
  <si>
    <t>OPL00317-Penyesuaian Pangkat Berkala Pegawai</t>
  </si>
  <si>
    <t>OPL00318</t>
  </si>
  <si>
    <t>Penyesuaian JAD dan Gelar</t>
  </si>
  <si>
    <t>OPL00318-Penyesuaian JAD dan Gelar</t>
  </si>
  <si>
    <t>OPL00319</t>
  </si>
  <si>
    <t>Pengurusan Visa untuk Dosen Asing</t>
  </si>
  <si>
    <t>OPL00319-Pengurusan Visa untuk Dosen Asing</t>
  </si>
  <si>
    <t>Pembayaran pengurusan visa (biaya visa dan agen) saat merekrut dosen asing.</t>
  </si>
  <si>
    <t>OPL003110</t>
  </si>
  <si>
    <t>Sewa Rumah Tinggal Dosen Asing</t>
  </si>
  <si>
    <t>OPL003110-Sewa Rumah Tinggal Dosen Asing</t>
  </si>
  <si>
    <t>Pembayaran sewa rumah dosen asing yang direkrut oleh Universitas, dan kebutuhan-kebutuhan lainnya (misalnya: laundry, perbaikan jika terjadi kerusakan pada rumah)</t>
  </si>
  <si>
    <t>OPL003111</t>
  </si>
  <si>
    <t>Cadangan EWMP Semester Genap</t>
  </si>
  <si>
    <t>OPL003111-Cadangan EWMP Semester Genap</t>
  </si>
  <si>
    <t xml:space="preserve">Cadangan pembayaran honorarium kelebihan beban dosen untuk semester genap jika belum dibayarkan pada TA sebelumnya. </t>
  </si>
  <si>
    <t>OTL</t>
  </si>
  <si>
    <t>Pengembangan Ilmu Pengetahuan</t>
  </si>
  <si>
    <t>OTL00111</t>
  </si>
  <si>
    <t>Penelitian unggulan universitas (Lektor keatas)</t>
  </si>
  <si>
    <t>OTL00111-Penelitian unggulan universitas (Lektor keatas)</t>
  </si>
  <si>
    <t>OTL00112</t>
  </si>
  <si>
    <t>Skema Dosen Madya (Maks AA)</t>
  </si>
  <si>
    <t>OTL00112-Skema Dosen Madya (Maks AA)</t>
  </si>
  <si>
    <t>OTL00113</t>
  </si>
  <si>
    <t>Skema Dosen Pemula (Non NIDN. Non JAD)</t>
  </si>
  <si>
    <t>OTL00113-Skema Dosen Pemula (Non NIDN. Non JAD)</t>
  </si>
  <si>
    <t>OTL00114</t>
  </si>
  <si>
    <t>Penelitian unggulan dan strategis nasional</t>
  </si>
  <si>
    <t>OTL00114-Penelitian unggulan dan strategis nasional</t>
  </si>
  <si>
    <t>OTL00115</t>
  </si>
  <si>
    <t>Penelitian fundamental</t>
  </si>
  <si>
    <t>OTL00115-Penelitian fundamental</t>
  </si>
  <si>
    <t>OTL00116</t>
  </si>
  <si>
    <t>Penelitian berorientasi produk</t>
  </si>
  <si>
    <t>OTL00116-Penelitian berorientasi produk</t>
  </si>
  <si>
    <t>OTL00117</t>
  </si>
  <si>
    <t>Joint Research (internasional)</t>
  </si>
  <si>
    <t>OTL00117-Joint Research (internasional)</t>
  </si>
  <si>
    <t>OTL00118</t>
  </si>
  <si>
    <t>Penelitian Kerjasama Perguruan Tinggi (PEKERTI)</t>
  </si>
  <si>
    <t>OTL00118-Penelitian Kerjasama Perguruan Tinggi (PEKERTI)</t>
  </si>
  <si>
    <t>OTL00119</t>
  </si>
  <si>
    <t>Skema Ma Chung Research Grant</t>
  </si>
  <si>
    <t>OTL00119-Skema Ma Chung Research Grant</t>
  </si>
  <si>
    <t>Dana penelitian yang diberikan kepada dosen Universitas Ma Chung dengan sistem kompetisi.</t>
  </si>
  <si>
    <t>Administrasi Penelitian</t>
  </si>
  <si>
    <t>OTL00121</t>
  </si>
  <si>
    <t>Monev mutu penelitian</t>
  </si>
  <si>
    <t>OTL00121-Monev mutu penelitian</t>
  </si>
  <si>
    <t>OTL00122</t>
  </si>
  <si>
    <t>Seleksi Proposal Penelitian</t>
  </si>
  <si>
    <t>OTL00122-Seleksi Proposal Penelitian</t>
  </si>
  <si>
    <t>OTL00123</t>
  </si>
  <si>
    <t>Pelaporan penelitian</t>
  </si>
  <si>
    <t>OTL00123-Pelaporan penelitian</t>
  </si>
  <si>
    <t>Diseminasi Ilmu Pengetahuan</t>
  </si>
  <si>
    <t>OTL001314</t>
  </si>
  <si>
    <t>Pengelolaan dan penerbitan e-journal</t>
  </si>
  <si>
    <t>OTL001314-Pengelolaan dan penerbitan e-journal</t>
  </si>
  <si>
    <t>Honorarium untuk pengelolaan dan penerbitan e-journal, termasuk untuk proses seleksi, editing, dan lain sebagainya.</t>
  </si>
  <si>
    <t>OTL001315</t>
  </si>
  <si>
    <t>Pengelolaan dan penerbitan jurnal</t>
  </si>
  <si>
    <t>OTL001315-Pengelolaan dan penerbitan jurnal</t>
  </si>
  <si>
    <t>Honorarium untuk pengelolaan dan penerbitan jurnal, termasuk untuk proses seleksi, editing dan lain sebagainya.</t>
  </si>
  <si>
    <t>OTL001318</t>
  </si>
  <si>
    <t>Penyelenggaraan Seminar Nasional</t>
  </si>
  <si>
    <t>OTL001318-Penyelenggaraan Seminar Nasional</t>
  </si>
  <si>
    <t>Penyelenggaraan seminar nasional oleh universitas/fakultas/program studi.</t>
  </si>
  <si>
    <t>OTL001319</t>
  </si>
  <si>
    <t>Penyelenggaraan Seminar Internasional</t>
  </si>
  <si>
    <t>OTL001319-Penyelenggaraan Seminar Internasional</t>
  </si>
  <si>
    <t>Penyelenggaraan seminar internasional oleh universitas/fakultas/program studi. Seminar internasional harus melibatkan peserta minimal dari 5 negara yang berbeda.</t>
  </si>
  <si>
    <t>OTL001320</t>
  </si>
  <si>
    <t>Penyelenggaraan Seminar Bersama (Internasional)</t>
  </si>
  <si>
    <t>OTL001320-Penyelenggaraan Seminar Bersama (Internasional)</t>
  </si>
  <si>
    <t>Penyelenggaraan seminar internasional oleh universitas/fakultas/program studi bersama dengan institusi pendidikan lainnya (co-hosting)</t>
  </si>
  <si>
    <t>OTL001323</t>
  </si>
  <si>
    <t>Hak Cipta</t>
  </si>
  <si>
    <t>OTL001323-Hak Cipta</t>
  </si>
  <si>
    <t>Insentif hak cipta</t>
  </si>
  <si>
    <t>OTL001324</t>
  </si>
  <si>
    <t>Publikasi Buku Referensi Penulis</t>
  </si>
  <si>
    <t>OTL001324-Publikasi Buku Referensi Penulis</t>
  </si>
  <si>
    <t>Insentif sebagai penulis pada publikasi buku referensi</t>
  </si>
  <si>
    <t>OTL001325</t>
  </si>
  <si>
    <t>Publikasi Buku Referensi Editor</t>
  </si>
  <si>
    <t>OTL001325-Publikasi Buku Referensi Editor</t>
  </si>
  <si>
    <t>Insentif sebagai editorr pada publikasi buku referensi</t>
  </si>
  <si>
    <t>OTL001326</t>
  </si>
  <si>
    <t>Publikasi Buku Monograf Penulis</t>
  </si>
  <si>
    <t>OTL001326-Publikasi Buku Monograf Penulis</t>
  </si>
  <si>
    <t>Insentif sebagai penulis pada publikasi buku monograf</t>
  </si>
  <si>
    <t>OTL001327</t>
  </si>
  <si>
    <t>Publikasi Buku Monograf Editor</t>
  </si>
  <si>
    <t>OTL001327-Publikasi Buku Monograf Editor</t>
  </si>
  <si>
    <t>Insentif sebagai editor pada publikasi buku monograf</t>
  </si>
  <si>
    <t>OTL001328</t>
  </si>
  <si>
    <t>Publikasi Book Chapter Internasional - Penulis</t>
  </si>
  <si>
    <t>OTL001328-Publikasi Book Chapter Internasional - Penulis</t>
  </si>
  <si>
    <t>Insentif sebagai penulis publikasi book chapter internasional</t>
  </si>
  <si>
    <t>OTL001329</t>
  </si>
  <si>
    <t>Publikasi Book Chapter Nasional -Penulis</t>
  </si>
  <si>
    <t>OTL001329-Publikasi Book Chapter Nasional -Penulis</t>
  </si>
  <si>
    <t>Insentif sebagai penulis publikasi book chapter nasional</t>
  </si>
  <si>
    <t>OTL001330</t>
  </si>
  <si>
    <t>Buku Ajar</t>
  </si>
  <si>
    <t>OTL001330-Buku Ajar</t>
  </si>
  <si>
    <t>Insentif publikasi buku ajar</t>
  </si>
  <si>
    <t>OTL001331</t>
  </si>
  <si>
    <t>Publikasi Jurnal Nasional (Sinta 1)</t>
  </si>
  <si>
    <t>OTL001331-Publikasi Jurnal Nasional (Sinta 1)</t>
  </si>
  <si>
    <t>Insentif publikasi jurnal nasional Sinta 1</t>
  </si>
  <si>
    <t>OTL001332</t>
  </si>
  <si>
    <t>Publikasi Jurnal Nasional (Sinta 2)</t>
  </si>
  <si>
    <t>OTL001332-Publikasi Jurnal Nasional (Sinta 2)</t>
  </si>
  <si>
    <t>Insentif publikasi jurnal nasional Sinta 2</t>
  </si>
  <si>
    <t>OTL001333</t>
  </si>
  <si>
    <t>Publikasi Jurnal Nasional (Sinta 3)</t>
  </si>
  <si>
    <t>OTL001333-Publikasi Jurnal Nasional (Sinta 3)</t>
  </si>
  <si>
    <t>Insentif publikasi jurnal nasional Sinta 3</t>
  </si>
  <si>
    <t>OTL001334</t>
  </si>
  <si>
    <t>Publikasi Jurnal Nasional (Sinta 4)</t>
  </si>
  <si>
    <t>OTL001334-Publikasi Jurnal Nasional (Sinta 4)</t>
  </si>
  <si>
    <t>Insentif publikasi jurnal nasional Sinta 4</t>
  </si>
  <si>
    <t>OTL001335</t>
  </si>
  <si>
    <t>Publikasi Jurnal Nasional (Sinta 5)</t>
  </si>
  <si>
    <t>OTL001335-Publikasi Jurnal Nasional (Sinta 5)</t>
  </si>
  <si>
    <t>Insentif publikasi jurnal nasional Sinta 5</t>
  </si>
  <si>
    <t>OTL001336</t>
  </si>
  <si>
    <t>Publikasi Jurnal Nasional (Sinta 6)</t>
  </si>
  <si>
    <t>OTL001336-Publikasi Jurnal Nasional (Sinta 6)</t>
  </si>
  <si>
    <t>Insentif publikasi jurnal nasional Sinta 6</t>
  </si>
  <si>
    <t>OTL001337</t>
  </si>
  <si>
    <t>Publikasi Jurnal Nasional berbahasa Inggris atau PBB terindeks dan diakui kemenristekdikti (CABI, ICI)</t>
  </si>
  <si>
    <t>OTL001337-Publikasi Jurnal Nasional berbahasa Inggris atau PBB terindeks dan diakui kemenristekdikti (CABI, ICI)</t>
  </si>
  <si>
    <t>Insentif publikasi Jurnal Nasional berbahasa Inggris atau PBB terindeks dan diakui kemenristekdikti (CABI, ICI)</t>
  </si>
  <si>
    <t>OTL001338</t>
  </si>
  <si>
    <t>Publikasi Jurnal Nasional ber-ISSN (Non-Sinta) / Jurnal Nasional Berbahasa Inggris</t>
  </si>
  <si>
    <t>OTL001338-Publikasi Jurnal Nasional ber-ISSN (Non-Sinta) / Jurnal Nasional Berbahasa Inggris</t>
  </si>
  <si>
    <t>Insentif publikasi Jurnal Nasional ber-ISSN (Non-Sinta)</t>
  </si>
  <si>
    <t>OTL001339</t>
  </si>
  <si>
    <t>Publikasi Scopus Q1 atau Web of Science dengan JIF&amp;gt;=5</t>
  </si>
  <si>
    <t>OTL001339-Publikasi Scopus Q1 atau Web of Science dengan JIF&amp;gt;=5</t>
  </si>
  <si>
    <t>Insentif Publikasi Scopus Q1 atau Web of Science dengan JIF&gt;=5</t>
  </si>
  <si>
    <t>OTL001340</t>
  </si>
  <si>
    <t>Publikasi Scopus Q2 atau Web of Science dengan JIF&amp;gt;=3 s.d. 4,9</t>
  </si>
  <si>
    <t>OTL001340-Publikasi Scopus Q2 atau Web of Science dengan JIF&amp;gt;=3 s.d. 4,9</t>
  </si>
  <si>
    <t>Insentif Publikasi Scopus Q2 atau Web of Science dengan JIF&gt;=3 s.d. 4,9</t>
  </si>
  <si>
    <t>OTL001341</t>
  </si>
  <si>
    <t>Publikasi Scopus Q3 atau Web of Science dengan JIF&amp;gt;=1 s.d. 2,9</t>
  </si>
  <si>
    <t>OTL001341-Publikasi Scopus Q3 atau Web of Science dengan JIF&amp;gt;=1 s.d. 2,9</t>
  </si>
  <si>
    <t>Insentif Publikasi Scopus Q3 atau Web of Science dengan JIF&gt;=1 s.d. 2,9</t>
  </si>
  <si>
    <t>OTL001342</t>
  </si>
  <si>
    <t>Publikasi Scopus Q4 atau Web of Science dengan JIF&amp;gt;=0,05 s.d 0,9</t>
  </si>
  <si>
    <t>OTL001342-Publikasi Scopus Q4 atau Web of Science dengan JIF&amp;gt;=0,05 s.d 0,9</t>
  </si>
  <si>
    <t>Insentif Publikasi Scopus Q4 atau Web of Science dengan JIF&gt;=0,05 s.d 0,9</t>
  </si>
  <si>
    <t>OTL001343</t>
  </si>
  <si>
    <t>Publikasi Internasional terindeks non Scopus/WoS (ESCI, dll)</t>
  </si>
  <si>
    <t>OTL001343-Publikasi Internasional terindeks non Scopus/WoS (ESCI, dll)</t>
  </si>
  <si>
    <t>Insentif Publikasi Internasional terindeks non Scopus/WoS (ESCI, dll)</t>
  </si>
  <si>
    <t>OTL001344</t>
  </si>
  <si>
    <t>Publikasi Jurnal Internasional lainnya</t>
  </si>
  <si>
    <t>OTL001344-Publikasi Jurnal Internasional lainnya</t>
  </si>
  <si>
    <t>Insentif Publikasi Jurnal Internasional lainnya</t>
  </si>
  <si>
    <t>OTL001345</t>
  </si>
  <si>
    <t>Publikasi Artikel di Koran Nasional</t>
  </si>
  <si>
    <t>OTL001345-Publikasi Artikel di Koran Nasional</t>
  </si>
  <si>
    <t>Insentif Publikasi Artikel di Koran Nasional</t>
  </si>
  <si>
    <t>OTL001346</t>
  </si>
  <si>
    <t>Publikasi Artikel di Koran Regional</t>
  </si>
  <si>
    <t>OTL001346-Publikasi Artikel di Koran Regional</t>
  </si>
  <si>
    <t>Insentif Publikasi Artikel di Koran Regional</t>
  </si>
  <si>
    <t>OTL001347</t>
  </si>
  <si>
    <t>Publikasi Artikel di Koran Lokal</t>
  </si>
  <si>
    <t>OTL001347-Publikasi Artikel di Koran Lokal</t>
  </si>
  <si>
    <t>Insentif Publikasi Artikel di Koran Lokal</t>
  </si>
  <si>
    <t>OTL001348</t>
  </si>
  <si>
    <t>Publikasi Artikel di Media Online</t>
  </si>
  <si>
    <t>OTL001348-Publikasi Artikel di Media Online</t>
  </si>
  <si>
    <t>Insentif Publikasi Artikel di Media Online</t>
  </si>
  <si>
    <t>OTL001349</t>
  </si>
  <si>
    <t>Karya seni monumental yang tidak didaftarkan KI, tetapi telah dipresentasikan pada forum intenasional</t>
  </si>
  <si>
    <t>OTL001349-Karya seni monumental yang tidak didaftarkan KI, tetapi telah dipresentasikan pada forum intenasional</t>
  </si>
  <si>
    <t>Insentif Karya seni monumental yang tidak didaftarkan KI, tetapi telah dipresentasikan pada forum intenasional</t>
  </si>
  <si>
    <t>OTL001350</t>
  </si>
  <si>
    <t>Karya seni monumental yang tidak didaftarkan KI, tetapi telah dipresentasikan pada forum nasional</t>
  </si>
  <si>
    <t>OTL001350-Karya seni monumental yang tidak didaftarkan KI, tetapi telah dipresentasikan pada forum nasional</t>
  </si>
  <si>
    <t>Insentif Karya seni monumental yang tidak didaftarkan KI, tetapi telah dipresentasikan pada forum nasional</t>
  </si>
  <si>
    <t>OTL001351</t>
  </si>
  <si>
    <t>Karya seni monumental yang tidak didaftarkan KI, tetapi telah dipresentasikan pada forum lokal</t>
  </si>
  <si>
    <t>OTL001351-Karya seni monumental yang tidak didaftarkan KI, tetapi telah dipresentasikan pada forum lokal</t>
  </si>
  <si>
    <t>Insentif Karya seni monumental yang tidak didaftarkan KI, tetapi telah dipresentasikan pada forum lokal</t>
  </si>
  <si>
    <t>OTL001352</t>
  </si>
  <si>
    <t>Paten Sederhana (terdaftar/formalitas)</t>
  </si>
  <si>
    <t>OTL001352-Paten Sederhana (terdaftar/formalitas)</t>
  </si>
  <si>
    <t>Insentif hak paten sederhana</t>
  </si>
  <si>
    <t>OTL001353</t>
  </si>
  <si>
    <t>Paten Sederhana (Substansif)</t>
  </si>
  <si>
    <t>OTL001353-Paten Sederhana (Substansif)</t>
  </si>
  <si>
    <t>Insentif Paten Sederhana (Substansif)</t>
  </si>
  <si>
    <t>OTL001354</t>
  </si>
  <si>
    <t>Paten Nasional (terdaftar/formalitas)</t>
  </si>
  <si>
    <t>OTL001354-Paten Nasional (terdaftar/formalitas)</t>
  </si>
  <si>
    <t>Insentif Paten Nasional (terdaftar/formalitas)</t>
  </si>
  <si>
    <t>OTL001355</t>
  </si>
  <si>
    <t>Paten Nasional (Substansif)</t>
  </si>
  <si>
    <t>OTL001355-Paten Nasional (Substansif)</t>
  </si>
  <si>
    <t>Insentif Paten Nasional (Substansif)</t>
  </si>
  <si>
    <t>OTL001356</t>
  </si>
  <si>
    <t>Merek</t>
  </si>
  <si>
    <t>OTL001356-Merek</t>
  </si>
  <si>
    <t>Insentif Merek</t>
  </si>
  <si>
    <t>OTL001357</t>
  </si>
  <si>
    <t>Desain Industri</t>
  </si>
  <si>
    <t>OTL001357-Desain Industri</t>
  </si>
  <si>
    <t>Insentif Desain Industri</t>
  </si>
  <si>
    <t>Pengabdian kepada Masyarakat</t>
  </si>
  <si>
    <t>OTL00145</t>
  </si>
  <si>
    <t>Skema Ma Chung Abdimas Grant</t>
  </si>
  <si>
    <t>OTL00145-Skema Ma Chung Abdimas Grant</t>
  </si>
  <si>
    <t>Dana pengabdian masyarakat yang diberikan kepada dosen Universitas Ma Chung dengan sistem kompetisi.</t>
  </si>
  <si>
    <t>OTL00147</t>
  </si>
  <si>
    <t>Pengabdian kepada masyarakat lainnya</t>
  </si>
  <si>
    <t>OTL00147-Pengabdian kepada masyarakat lainnya</t>
  </si>
  <si>
    <t>Kegiatan pengabdian masyarakat yang dianggap memiliki nilai strategis untuk dilaksanakan oleh Universitas.</t>
  </si>
  <si>
    <t>OTL00148</t>
  </si>
  <si>
    <t>Penulisan artikel dalam media internal Universitas</t>
  </si>
  <si>
    <t>OTL00148-Penulisan artikel dalam media internal Universitas</t>
  </si>
  <si>
    <t>Insentif untuk dosen/tendik yang menulis artikel yang diterbitkan dalam media internal Universitas (website/newsletter)</t>
  </si>
  <si>
    <t>Penjaminan dan Standar Mutu Pendidikan</t>
  </si>
  <si>
    <t>OTL00211</t>
  </si>
  <si>
    <t>Monev Mutu Pendidikan</t>
  </si>
  <si>
    <t>OTL00211-Monev Mutu Pendidikan</t>
  </si>
  <si>
    <t>Pelaksanaan monitoring dan evaluasi untuk mutu pendidikan berdasarkan Standar Akademik yang ditetapkan</t>
  </si>
  <si>
    <t>OTL00212</t>
  </si>
  <si>
    <t>Tracer Study Alumni</t>
  </si>
  <si>
    <t>OTL00212-Tracer Study Alumni</t>
  </si>
  <si>
    <t>Pelaksanaan kegiatan penelusuran alumni universitas yang dikoordinasikan oleh Pusat Karir (BKAPK)</t>
  </si>
  <si>
    <t>OTL00213</t>
  </si>
  <si>
    <t>Audit Mutu Akademik Internal</t>
  </si>
  <si>
    <t>OTL00213-Audit Mutu Akademik Internal</t>
  </si>
  <si>
    <t>Pelaksanaan Audit Mutu Pendidikan berdasarkan Standar Mutu yang ditetapkan</t>
  </si>
  <si>
    <t>OTL00214</t>
  </si>
  <si>
    <t>Audit Mutu Non Akademik Internal</t>
  </si>
  <si>
    <t>OTL00214-Audit Mutu Non Akademik Internal</t>
  </si>
  <si>
    <t>Pelaksanaan Audit Mutu untuk Non Akademik berdasarkan Standar Mutu yang ditetapkan.</t>
  </si>
  <si>
    <t>OTL00215</t>
  </si>
  <si>
    <t>Penyempurnaan Desain Kurikulum</t>
  </si>
  <si>
    <t>OTL00215-Penyempurnaan Desain Kurikulum</t>
  </si>
  <si>
    <t>Proses penyempurnaan desain kurikulum yang hanya dapat diajukan paling cepat 3 tahun setelah kurikulum yang digunakan saat ini disahkan. Jika pada tahun sebelumnya unit telah mengajukan penyempurnaan desain kurikulum, maka pada tahun ini tidak dapat diajukan.</t>
  </si>
  <si>
    <t>OTL00216</t>
  </si>
  <si>
    <t>Akreditasi Nasional Program Studi</t>
  </si>
  <si>
    <t>OTL00216-Akreditasi Nasional Program Studi</t>
  </si>
  <si>
    <t>Proses persiapan dan biaya akreditasi resmi yang diajukan oleh lembaga akreditas (jika ada). Proses persiapan dapat dilakukan mulai dari 1 tahun sebelum pengiriman borang. Akreditasi untuk beberapa prodi masih dilaksanakan di bawah koordinasi BAN-PT (Prodi DKV, Sastra Inggris)</t>
  </si>
  <si>
    <t>OTL00217</t>
  </si>
  <si>
    <t>Akreditasi Institusi Perguruan Tinggi</t>
  </si>
  <si>
    <t>OTL00217-Akreditasi Institusi Perguruan Tinggi</t>
  </si>
  <si>
    <t>Proses persiapan dan biaya akreditasi resmi yang diajukan oleh lembaga akreditas (jika ada). 
Proses persiapan dapat dilakukan mulai dari 1 tahun sebelum pengiriman borang. Akreditasi untuk institusi, dilaksanakan oleh BAN-PT.</t>
  </si>
  <si>
    <t>OTL00218</t>
  </si>
  <si>
    <t>Akreditasi LAM-PT Kes</t>
  </si>
  <si>
    <t>OTL00218-Akreditasi LAM-PT Kes</t>
  </si>
  <si>
    <t>Proses persiapan dan biaya akreditasi resmi yang diajukan oleh lembaga akreditas (jika ada). 
Proses persiapan dapat dilakukan mulai dari 1 tahun sebelum pengiriman borang. Akreditasi bagi Prodi Farmasi, Prodi Optometri dan PSPA (Apoteker)</t>
  </si>
  <si>
    <t>OTL00219</t>
  </si>
  <si>
    <t>Akreditasi Laboratorium</t>
  </si>
  <si>
    <t>OTL00219-Akreditasi Laboratorium</t>
  </si>
  <si>
    <t xml:space="preserve">Proses persiapan dan biaya akreditasi resmi yang diajukan oleh lembaga akreditas (jika ada). 
Proses persiapan dapat dilakukan mulai dari 1 tahun sebelum pengiriman borang. </t>
  </si>
  <si>
    <t>OTL002110</t>
  </si>
  <si>
    <t>Akreditasi Internasional</t>
  </si>
  <si>
    <t>OTL002110-Akreditasi Internasional</t>
  </si>
  <si>
    <t>OTL002111</t>
  </si>
  <si>
    <t>Pemutakhiran Dokumen Mutu</t>
  </si>
  <si>
    <t>OTL002111-Pemutakhiran Dokumen Mutu</t>
  </si>
  <si>
    <t>Pengkinian dokumen mutu unit kerja dikarenakan adanya perubahan kebijakan, peraturan maupun prosedur.</t>
  </si>
  <si>
    <t>OTL002112</t>
  </si>
  <si>
    <t>Akreditasi LAM TEKNIK</t>
  </si>
  <si>
    <t>OTL002112-Akreditasi LAM TEKNIK</t>
  </si>
  <si>
    <t>Proses persiapan hingga teknis pelaksanaan kegiatan. 
Proses persiapan dapat dilakukan mulai dari 1 tahun sebelum pengiriman borang. Akreditasi bagi prodi-prodi di bawah Fakultas Teknologi dan Desain.</t>
  </si>
  <si>
    <t>OTL002113</t>
  </si>
  <si>
    <t>Akreditasi LAMDIK</t>
  </si>
  <si>
    <t>OTL002113-Akreditasi LAMDIK</t>
  </si>
  <si>
    <t>Proses persiapan dan biaya akreditasi resmi yang diajukan oleh lembaga akreditas (jika ada). 
Proses persiapan dapat dilakukan mulai dari 1 tahun sebelum pengiriman borang. Akreditasi bagi prodi Pendidikan Bahasa Mandarin.</t>
  </si>
  <si>
    <t>OTL002114</t>
  </si>
  <si>
    <t>Akreditasi LAMEMBA</t>
  </si>
  <si>
    <t>OTL002114-Akreditasi LAMEMBA</t>
  </si>
  <si>
    <t>Proses persiapan dan biaya akreditasi resmi yang diajukan oleh lembaga akreditas (jika ada). 
Proses persiapan dapat dilakukan mulai dari 1 tahun sebelum pengiriman borang. Akreditasi bagi prodi Manajemen, Akuntansi, dan Magister Manajemen Inovasi.</t>
  </si>
  <si>
    <t>Pengembangan Sumber Belajar</t>
  </si>
  <si>
    <t>OTL00221</t>
  </si>
  <si>
    <t>Langganan Jurnal/Jurnal Online</t>
  </si>
  <si>
    <t>OTL00221-Langganan Jurnal/Jurnal Online</t>
  </si>
  <si>
    <t>OTL00222</t>
  </si>
  <si>
    <t>Langganan Majalah/Surat Kabar</t>
  </si>
  <si>
    <t>OTL00222-Langganan Majalah/Surat Kabar</t>
  </si>
  <si>
    <t>OTL00223</t>
  </si>
  <si>
    <t>Pembelian Text Book</t>
  </si>
  <si>
    <t>OTL00223-Pembelian Text Book</t>
  </si>
  <si>
    <t>OTL00224</t>
  </si>
  <si>
    <t>Layanan Repository</t>
  </si>
  <si>
    <t>OTL00224-Layanan Repository</t>
  </si>
  <si>
    <t>OTL00225</t>
  </si>
  <si>
    <t>Kegiatan Literasi</t>
  </si>
  <si>
    <t>OTL00225-Kegiatan Literasi</t>
  </si>
  <si>
    <t>Kegiatan Literasi perpustakaan, mengundang tokoh inspiratif dengan kepakaran unik penunjang akademik</t>
  </si>
  <si>
    <t>Peningkatan Kualitas dan Kapasitas Dosen</t>
  </si>
  <si>
    <t>OTL00313</t>
  </si>
  <si>
    <t>Pelatihan/ Workshop</t>
  </si>
  <si>
    <t>OTL00313-Pelatihan/ Workshop</t>
  </si>
  <si>
    <t>Bantuan untuk pelatihan/workshop yang diikuti oleh dosen.</t>
  </si>
  <si>
    <t>OTL00314</t>
  </si>
  <si>
    <t>Sertifikasi</t>
  </si>
  <si>
    <t>OTL00314-Sertifikasi</t>
  </si>
  <si>
    <t>Bantuan untuk sertifikasi yang diikuti oleh dosen.</t>
  </si>
  <si>
    <t>OTL00315</t>
  </si>
  <si>
    <t>Keanggotaan organisasi profesi</t>
  </si>
  <si>
    <t>OTL00315-Keanggotaan organisasi profesi</t>
  </si>
  <si>
    <t>Bantuan untuk keikutsertaan prodi dalam organisasi profesi.</t>
  </si>
  <si>
    <t>OTL00316</t>
  </si>
  <si>
    <t>Keikutsertaan dalam forum ilmiah nasional/internasional</t>
  </si>
  <si>
    <t>OTL00316-Keikutsertaan dalam forum ilmiah nasional/internasional</t>
  </si>
  <si>
    <t>Bantuan untuk keikutsertaan dosen dalam forum ilmiah nasional/internasional atau dalam rapat asosiasi bidang ilmu tertentu.</t>
  </si>
  <si>
    <t>Peningkatan Kualitas dan Kapasitas Tendik</t>
  </si>
  <si>
    <t>OTL00323</t>
  </si>
  <si>
    <t>OTL00323-Pelatihan/ Workshop</t>
  </si>
  <si>
    <t>Pembiayaan pelatihan/workshop yang diikuti oleh tendik atas perintah Universitas</t>
  </si>
  <si>
    <t>OTL00324</t>
  </si>
  <si>
    <t>Studi Banding</t>
  </si>
  <si>
    <t>OTL00324-Studi Banding</t>
  </si>
  <si>
    <t>Pembiayaan kegiatan studi banding yang diselenggarakan untuk kepentingan Universitas dan diikuti oleh Tenaga Kependidikan</t>
  </si>
  <si>
    <t>OTL00325</t>
  </si>
  <si>
    <t>Pengembangan Kualitas Tendik Lainnya</t>
  </si>
  <si>
    <t>OTL00325-Pengembangan Kualitas Tendik Lainnya</t>
  </si>
  <si>
    <t>Keikutsertaan tendik dalam kegiatan-kegiatan lain dalam kegiatan yang dapat meningkatkan kualitas dan kapasitasnya</t>
  </si>
  <si>
    <t>Peningkatan Kualitas dan Suasana Kerja dalam Universitas</t>
  </si>
  <si>
    <t>OTL00326</t>
  </si>
  <si>
    <t>Penyelenggaraan Pelatihan Internal</t>
  </si>
  <si>
    <t>OTL00326-Penyelenggaraan Pelatihan Internal</t>
  </si>
  <si>
    <t>Pembiayaan pelatihan/workshop yang diselenggarakan oleh unit di internal Universitas untuk Pegawai Universitas</t>
  </si>
  <si>
    <t>OTL00331</t>
  </si>
  <si>
    <t>Employee Gathering</t>
  </si>
  <si>
    <t>OTL00331-Employee Gathering</t>
  </si>
  <si>
    <t>Kegiatan tahunan/rutin Universitas untuk seluruh pegawai Universitas yang didedikasikan untuk meningkatkan keakraban antar pegawai.</t>
  </si>
  <si>
    <t>OTL00332</t>
  </si>
  <si>
    <t>Outbound Capacity Building</t>
  </si>
  <si>
    <t>OTL00332-Outbound Capacity Building</t>
  </si>
  <si>
    <t>Kegiatan peningkatan pengembangan kapasitas pegawai yang diselenggarakan oleh Universitas</t>
  </si>
  <si>
    <t>Gaji, Tunjangan, Askes, Insentif Pengelola PT</t>
  </si>
  <si>
    <t>OTL00411</t>
  </si>
  <si>
    <t>Tunjangan / Insentif Pimpinan Universitas</t>
  </si>
  <si>
    <t>OTL00411-Tunjangan / Insentif Pimpinan Universitas</t>
  </si>
  <si>
    <t>OTL00412</t>
  </si>
  <si>
    <t>Tunjangan / Insentif Dekan</t>
  </si>
  <si>
    <t>OTL00412-Tunjangan / Insentif Dekan</t>
  </si>
  <si>
    <t>OTL00413</t>
  </si>
  <si>
    <t>Tunjangan / Insentif Kaprodi</t>
  </si>
  <si>
    <t>OTL00413-Tunjangan / Insentif Kaprodi</t>
  </si>
  <si>
    <t>OTL00414</t>
  </si>
  <si>
    <t>Tunjangan / Insentif Kepala Lembaga</t>
  </si>
  <si>
    <t>OTL00414-Tunjangan / Insentif Kepala Lembaga</t>
  </si>
  <si>
    <t>OTL00415</t>
  </si>
  <si>
    <t>Tunjangan / Insentif Kepala Biro</t>
  </si>
  <si>
    <t>OTL00415-Tunjangan / Insentif Kepala Biro</t>
  </si>
  <si>
    <t>OTL00416</t>
  </si>
  <si>
    <t>Tunjangan / Insentif Kepala Badan</t>
  </si>
  <si>
    <t>OTL00416-Tunjangan / Insentif Kepala Badan</t>
  </si>
  <si>
    <t>OTL00417</t>
  </si>
  <si>
    <t>Tunjangan / Insentif Kepala UPT</t>
  </si>
  <si>
    <t>OTL00417-Tunjangan / Insentif Kepala UPT</t>
  </si>
  <si>
    <t>OTL00418</t>
  </si>
  <si>
    <t>Tunjangan / Insentif Kepala Laboratorium</t>
  </si>
  <si>
    <t>OTL00418-Tunjangan / Insentif Kepala Laboratorium</t>
  </si>
  <si>
    <t>OTL00419</t>
  </si>
  <si>
    <t>Tunjangan / Insentif Kepala Bagian</t>
  </si>
  <si>
    <t>OTL00419-Tunjangan / Insentif Kepala Bagian</t>
  </si>
  <si>
    <t>OTL004110</t>
  </si>
  <si>
    <t>Tunjangan / Insentif Kepala Sub Bagian</t>
  </si>
  <si>
    <t>OTL004110-Tunjangan / Insentif Kepala Sub Bagian</t>
  </si>
  <si>
    <t>OTL004111</t>
  </si>
  <si>
    <t>Tunjangan / Insentif Kepala Urusan</t>
  </si>
  <si>
    <t>OTL004111-Tunjangan / Insentif Kepala Urusan</t>
  </si>
  <si>
    <t>OTL004112</t>
  </si>
  <si>
    <t>Gaji / Tunjangan / Insentif Tenaga Penunjang</t>
  </si>
  <si>
    <t>OTL004112-Gaji / Tunjangan / Insentif Tenaga Penunjang</t>
  </si>
  <si>
    <t>Komponen Gaji dan Insentif Tenaga Kependidikan di Unit Kerja Non Fakultas/Prodi</t>
  </si>
  <si>
    <t>OTL004113</t>
  </si>
  <si>
    <t>Tunjangan Hari Raya - Tenaga Penunjang</t>
  </si>
  <si>
    <t>OTL004113-Tunjangan Hari Raya - Tenaga Penunjang</t>
  </si>
  <si>
    <t>Komponen Tunjangan Hari Raya Tenaga Kependidikan di Unit Kerja Non Fakultas/Prodi</t>
  </si>
  <si>
    <t>OTL004114</t>
  </si>
  <si>
    <t>Tunjangan Hari Raya - Peneliti</t>
  </si>
  <si>
    <t>OTL004114-Tunjangan Hari Raya - Peneliti</t>
  </si>
  <si>
    <t>OTL004115</t>
  </si>
  <si>
    <t>Jaminan Kesejahteraan Dosen - Tendik - Tenaga Penunjang</t>
  </si>
  <si>
    <t>OTL004115-Jaminan Kesejahteraan Dosen - Tendik - Tenaga Penunjang</t>
  </si>
  <si>
    <t>OTL004116</t>
  </si>
  <si>
    <t>Jaminan Kesejahteraan Peneliti</t>
  </si>
  <si>
    <t>OTL004116-Jaminan Kesejahteraan Peneliti</t>
  </si>
  <si>
    <t>OTL004117</t>
  </si>
  <si>
    <t>Gaji/Tunjangan/Insentif Peneliti - Rekrutmen</t>
  </si>
  <si>
    <t>OTL004117-Gaji/Tunjangan/Insentif Peneliti - Rekrutmen</t>
  </si>
  <si>
    <t>OTL004118</t>
  </si>
  <si>
    <t>Insentif Kinerja Pegawai dan Unit Kerja</t>
  </si>
  <si>
    <t>OTL004118-Insentif Kinerja Pegawai dan Unit Kerja</t>
  </si>
  <si>
    <t>OTL004119</t>
  </si>
  <si>
    <t>Cadangan Dana Pesangon Pegawai</t>
  </si>
  <si>
    <t>OTL004119-Cadangan Dana Pesangon Pegawai</t>
  </si>
  <si>
    <t>OTL004120</t>
  </si>
  <si>
    <t>Cadangan Lembur dan Insentif Satgas</t>
  </si>
  <si>
    <t>OTL004120-Cadangan Lembur dan Insentif Satgas</t>
  </si>
  <si>
    <t>OTL004121</t>
  </si>
  <si>
    <t>Seleksi dan Rekrutmen Pegawai</t>
  </si>
  <si>
    <t>OTL004121-Seleksi dan Rekrutmen Pegawai</t>
  </si>
  <si>
    <t>OTL004122</t>
  </si>
  <si>
    <t>Cadangan Penyesuaian Gaji</t>
  </si>
  <si>
    <t>OTL004122-Cadangan Penyesuaian Gaji</t>
  </si>
  <si>
    <t>OTL004123</t>
  </si>
  <si>
    <t>Dana Sosial Tim Besuk</t>
  </si>
  <si>
    <t>OTL004123-Dana Sosial Tim Besuk</t>
  </si>
  <si>
    <t>OTL004124</t>
  </si>
  <si>
    <t>Cadangan Dana Talangan Studi Lanjut Pegawai</t>
  </si>
  <si>
    <t>OTL004124-Cadangan Dana Talangan Studi Lanjut Pegawai</t>
  </si>
  <si>
    <t>OTL004125</t>
  </si>
  <si>
    <t>Gaji Pegawai Magang Berbayar</t>
  </si>
  <si>
    <t>OTL004125-Gaji Pegawai Magang Berbayar</t>
  </si>
  <si>
    <t>Penyediaan Sarana Prasarana Perkantoran</t>
  </si>
  <si>
    <t>OTL00421</t>
  </si>
  <si>
    <t>Bahan habis pakai dan alat tulis kantor</t>
  </si>
  <si>
    <t>OTL00421-Bahan habis pakai dan alat tulis kantor</t>
  </si>
  <si>
    <t>Bahan habis pakai dan ATK yang digunakan oleh unit kerja (non fakultas)</t>
  </si>
  <si>
    <t>OTL00422</t>
  </si>
  <si>
    <t>Pengiriman Dokumen/Paket Rektorat</t>
  </si>
  <si>
    <t>OTL00422-Pengiriman Dokumen/Paket Rektorat</t>
  </si>
  <si>
    <t>OTL00423</t>
  </si>
  <si>
    <t>Langganan Daya / Jasa Listrik Kantor</t>
  </si>
  <si>
    <t>OTL00423-Langganan Daya / Jasa Listrik Kantor</t>
  </si>
  <si>
    <t>Langganan daya/jasa listrik untuk area Rektorat</t>
  </si>
  <si>
    <t>OTL00424</t>
  </si>
  <si>
    <t>Langganan Daya / Jasa Internet</t>
  </si>
  <si>
    <t>OTL00424-Langganan Daya / Jasa Internet</t>
  </si>
  <si>
    <t>Langganan daya jasa internet untuk unit kerja.</t>
  </si>
  <si>
    <t>OTL00425</t>
  </si>
  <si>
    <t>Langganan Daya / Jasa Kebersihan</t>
  </si>
  <si>
    <t>OTL00425-Langganan Daya / Jasa Kebersihan</t>
  </si>
  <si>
    <t>Langganan jasa kebersihan untuk area Rektorat.</t>
  </si>
  <si>
    <t>OTL00426</t>
  </si>
  <si>
    <t>Bantuan Biaya Komunikasi untuk Petugas On Call</t>
  </si>
  <si>
    <t>OTL00426-Bantuan Biaya Komunikasi untuk Petugas On Call</t>
  </si>
  <si>
    <t>Pembelian pulsa untuk petugas komunikasi on call di unit non Bagian Pemasaran.</t>
  </si>
  <si>
    <t>OTL00427</t>
  </si>
  <si>
    <t>Pemeliharaan Sarana Perkantoran</t>
  </si>
  <si>
    <t>OTL00427-Pemeliharaan Sarana Perkantoran</t>
  </si>
  <si>
    <t>Pemeliharaan sarana prasarana perkantoran yang mengalami kerusakan</t>
  </si>
  <si>
    <t>OTL00428</t>
  </si>
  <si>
    <t>Pemeliharaan Kendaraan Dinas</t>
  </si>
  <si>
    <t>OTL00428-Pemeliharaan Kendaraan Dinas</t>
  </si>
  <si>
    <t>OTL00429</t>
  </si>
  <si>
    <t>Pemeliharaan Bangunan Perkantoran</t>
  </si>
  <si>
    <t>OTL00429-Pemeliharaan Bangunan Perkantoran</t>
  </si>
  <si>
    <t>Pemeliharan Gedung Rektorat</t>
  </si>
  <si>
    <t>OTL004210</t>
  </si>
  <si>
    <t>Sewa Peralatan Kantor</t>
  </si>
  <si>
    <t>OTL004210-Sewa Peralatan Kantor</t>
  </si>
  <si>
    <t>OTL004211</t>
  </si>
  <si>
    <t>Penyusutan Sarana dan Alat Perkantoran</t>
  </si>
  <si>
    <t>OTL004211-Penyusutan Sarana dan Alat Perkantoran</t>
  </si>
  <si>
    <t>OTL004212</t>
  </si>
  <si>
    <t>PenyusutanBangunan Perkantoran</t>
  </si>
  <si>
    <t>OTL004212-PenyusutanBangunan Perkantoran</t>
  </si>
  <si>
    <t>OTL004213</t>
  </si>
  <si>
    <t>Pemeliharaan Buku Koleksi Perpustakaan - REKTORAT</t>
  </si>
  <si>
    <t>OTL004213-Pemeliharaan Buku Koleksi Perpustakaan - REKTORAT</t>
  </si>
  <si>
    <t>Perjalanan Dinas Manajerial</t>
  </si>
  <si>
    <t>OTL00441</t>
  </si>
  <si>
    <t>Perjalanan Dinas Dalam Negeri</t>
  </si>
  <si>
    <t>OTL00441-Perjalanan Dinas Dalam Negeri</t>
  </si>
  <si>
    <t>Perjalanan dinas yang dilaksanakan oleh seseorang atas dasar fungsinya/jabatannya. Perjalanan ini ditugaskan oleh Dekan atau Rektor atas adanya suatu kegiatan tertentu, baik dengan undangan maupun tidak. 
Perjalanan dinas merupakan bentuk disposisi dan bukan atas dasar inisiatif pribadi dari yang bersangkutan. Mencakup kebutuhan transportasi, akomodasi, dan konsumsi kegiatan di luar negeri.</t>
  </si>
  <si>
    <t>OTL00442</t>
  </si>
  <si>
    <t>Perjalanan Dinas Luar Negeri</t>
  </si>
  <si>
    <t>OTL00442-Perjalanan Dinas Luar Negeri</t>
  </si>
  <si>
    <t>Kegiatan Manajerial Lainnya</t>
  </si>
  <si>
    <t>OTL00451</t>
  </si>
  <si>
    <t>Penyelenggaraan Rapat Kerja Universitas</t>
  </si>
  <si>
    <t>OTL00451-Penyelenggaraan Rapat Kerja Universitas</t>
  </si>
  <si>
    <t>Rapat kerja diikuti oleh seluruh warga Universitas.</t>
  </si>
  <si>
    <t>OTL00452</t>
  </si>
  <si>
    <t>Penyelenggaraan Rapat Koordinasi Universitas</t>
  </si>
  <si>
    <t>OTL00452-Penyelenggaraan Rapat Koordinasi Universitas</t>
  </si>
  <si>
    <t>Rapat koordinasi merupakan rapat skala kecil yang diikuti oleh Pimpinan Unit Kerja dan Pimpinan Universitas.</t>
  </si>
  <si>
    <t>OTL00453</t>
  </si>
  <si>
    <t>Penyelenggaraan Rapat Koordinasi Bidang</t>
  </si>
  <si>
    <t>OTL00453-Penyelenggaraan Rapat Koordinasi Bidang</t>
  </si>
  <si>
    <t>Rapat koordinasi merupakan rapat skala kecil, diselenggarkan untuk koordinasi di masing-masing bidang kerja Wakil Rektor dan Rektor.</t>
  </si>
  <si>
    <t>OTL00454</t>
  </si>
  <si>
    <t>Penyelenggaraan Audit Internal Tahunan</t>
  </si>
  <si>
    <t>OTL00454-Penyelenggaraan Audit Internal Tahunan</t>
  </si>
  <si>
    <t>OTL00455</t>
  </si>
  <si>
    <t>Penyelenggaraan Monev Internal Semester</t>
  </si>
  <si>
    <t>OTL00455-Penyelenggaraan Monev Internal Semester</t>
  </si>
  <si>
    <t>Cukup jelas.</t>
  </si>
  <si>
    <t>Kegiatan Protokoler Universitas</t>
  </si>
  <si>
    <t>OTL00461</t>
  </si>
  <si>
    <t>Penyelenggaraan Dies Natalis Universitas</t>
  </si>
  <si>
    <t>OTL00461-Penyelenggaraan Dies Natalis Universitas</t>
  </si>
  <si>
    <t>Cukup jelas. Tidak termasuk biaya honorarium panitia.</t>
  </si>
  <si>
    <t>OTL00462</t>
  </si>
  <si>
    <t>Penyelenggaraan Lustrum Universitas</t>
  </si>
  <si>
    <t>OTL00462-Penyelenggaraan Lustrum Universitas</t>
  </si>
  <si>
    <t>OTL00463</t>
  </si>
  <si>
    <t>Pengukuhan Guru Besar</t>
  </si>
  <si>
    <t>OTL00463-Pengukuhan Guru Besar</t>
  </si>
  <si>
    <t>Bantuan yang diberikan Universitas untuk setiap kegiatan pengukuhan guru besar yang diselenggarakan.</t>
  </si>
  <si>
    <t>OTL00464</t>
  </si>
  <si>
    <t>Penyambutan Tamu Universitas</t>
  </si>
  <si>
    <t>OTL00464-Penyambutan Tamu Universitas</t>
  </si>
  <si>
    <t xml:space="preserve">Cukup jelas. </t>
  </si>
  <si>
    <t>OTL00465</t>
  </si>
  <si>
    <t>Kegiatan Protokoler lainnya</t>
  </si>
  <si>
    <t>OTL00465-Kegiatan Protokoler lainnya</t>
  </si>
  <si>
    <t>Kebutuhan kegiatan protokoler selain yang telah diagendakan rutin (pengukuhan GB, Dies Natalis, dan Wisuda)</t>
  </si>
  <si>
    <t>Peningkatan Citra Institusi</t>
  </si>
  <si>
    <t>OTL00511</t>
  </si>
  <si>
    <t>Pembuatan Cinderamata Universitas</t>
  </si>
  <si>
    <t>OTL00511-Pembuatan Cinderamata Universitas</t>
  </si>
  <si>
    <t>Cukup jelas. Pembuatan cinderamata dikoordinasi oleh Humas, unit kerja yang membutuhkan dapat mengajukan di awal tahun RKAT ke Humas</t>
  </si>
  <si>
    <t>OTL00512</t>
  </si>
  <si>
    <t>Sponsorship kegiatan eksternal</t>
  </si>
  <si>
    <t>OTL00512-Sponsorship kegiatan eksternal</t>
  </si>
  <si>
    <t>Sponsor yang diberikan oleh Universitas untuk kegiatan yang diselenggarakan oleh pihak eksternal, khususnya mitra atau mitra potensial.</t>
  </si>
  <si>
    <t>OTL00513</t>
  </si>
  <si>
    <t>Branding Universitas dalam Media Cetak</t>
  </si>
  <si>
    <t>OTL00513-Branding Universitas dalam Media Cetak</t>
  </si>
  <si>
    <t>Biaya branding universitas misalnya pemasangan profil dalam media cetak, kerjasama branding dengan perusahaan lain.</t>
  </si>
  <si>
    <t>OTL00514</t>
  </si>
  <si>
    <t>Branding Universitas dalam Media Online</t>
  </si>
  <si>
    <t>OTL00514-Branding Universitas dalam Media Online</t>
  </si>
  <si>
    <t>Biaya branding universitas misalnya pemasangan profil dalam media online, kerjasama branding dengan perusahaan/media online lainnya.</t>
  </si>
  <si>
    <t>OTL00515</t>
  </si>
  <si>
    <t>Branding Universitas melalui Media Radio</t>
  </si>
  <si>
    <t>OTL00515-Branding Universitas melalui Media Radio</t>
  </si>
  <si>
    <t>Biaya branding universitas misalnya pemasangan profil dalam media radio.</t>
  </si>
  <si>
    <t>OTL00516</t>
  </si>
  <si>
    <t>Publikasi Universitas dalam Media Cetak</t>
  </si>
  <si>
    <t>OTL00516-Publikasi Universitas dalam Media Cetak</t>
  </si>
  <si>
    <t>Biaya publikasi karya dosen/tendik/mahasiswa UMC di media cetak, bisa dalam bentuk kerjasama dengan media cetak, atau per artikel.</t>
  </si>
  <si>
    <t>OTL00517</t>
  </si>
  <si>
    <t>Publikasi Universitas dalam Media Online</t>
  </si>
  <si>
    <t>OTL00517-Publikasi Universitas dalam Media Online</t>
  </si>
  <si>
    <t>Biaya publikasi karya dosen/tendik/mahasiswa UMC di media online, bisa dalam bentuk kerjasama dengan media cetak, atau per artikel.</t>
  </si>
  <si>
    <t>OTL00518</t>
  </si>
  <si>
    <t>Media Gathering</t>
  </si>
  <si>
    <t>OTL00518-Media Gathering</t>
  </si>
  <si>
    <t>Gathering yang diselenggarakan bagi awak media yang dikoordinasi oleh Humas</t>
  </si>
  <si>
    <t>Partner Initiation dan Maintenance</t>
  </si>
  <si>
    <t>OTL005110</t>
  </si>
  <si>
    <t>Partner Maintenance</t>
  </si>
  <si>
    <t>OTL005110-Partner Maintenance</t>
  </si>
  <si>
    <t>Biaya inisiasi kerjasama dengan mitra yang baru dan juga maintenance partner yang sebelumnya telah bekerjasama.</t>
  </si>
  <si>
    <t>OTL005111</t>
  </si>
  <si>
    <t>International Program</t>
  </si>
  <si>
    <t>OTL005111-International Program</t>
  </si>
  <si>
    <t>Biaya kegiatan internasional yang diselenggarakan universitas untuk mengundang mahasiswa asing ke Universitas Ma Chung.</t>
  </si>
  <si>
    <t>Promosi Program Studi</t>
  </si>
  <si>
    <t>OTL00521</t>
  </si>
  <si>
    <t>Keikutsertaan dalam Pameran di Luar Kota</t>
  </si>
  <si>
    <t>OTL00521-Keikutsertaan dalam Pameran di Luar Kota</t>
  </si>
  <si>
    <t>Keikutsertaan UMC dalam Pameran yang diselenggarakan oleh pihak eksternal (misal: SMA/SMK/MA atau lembaga lain) termasuk biaya keikutsertaan, biaya transportasi dan akomodasi, biaya operasional lain). Lokasi di luar Malang Raya.</t>
  </si>
  <si>
    <t>OTL00522</t>
  </si>
  <si>
    <t>Keikutsertaan dalam Pameran di Dalam Kota</t>
  </si>
  <si>
    <t>OTL00522-Keikutsertaan dalam Pameran di Dalam Kota</t>
  </si>
  <si>
    <t>Keikutsertaan UMC dalam Pameran yang diselenggarakan oleh pihak eksternal (misal: SMA/SMK/MA atau lembaga lain) termasuk biaya keikutsertaan, biaya transportasi dan akomodasi, biaya operasional lain). Lokasi di area Malang Raya.</t>
  </si>
  <si>
    <t>OTL00523</t>
  </si>
  <si>
    <t>Pembuatan Gimmick Promosi</t>
  </si>
  <si>
    <t>OTL00523-Pembuatan Gimmick Promosi</t>
  </si>
  <si>
    <t>Pembuatan gimmick promosi untuk diberikan kepada calon mahasiswa baru dalam kegiatan-kegiatan promosi oleh Bagian Pemasaran.</t>
  </si>
  <si>
    <t>OTL00524</t>
  </si>
  <si>
    <t>Pembuatan Cinderamata PMB</t>
  </si>
  <si>
    <t>OTL00524-Pembuatan Cinderamata PMB</t>
  </si>
  <si>
    <t>Pembuatan cinderamata yang diberikan khusus kepada mahasiswa baru (yang sudah SKR).</t>
  </si>
  <si>
    <t>OTL00525</t>
  </si>
  <si>
    <t>Promosi Program Studi di Media Cetak</t>
  </si>
  <si>
    <t>OTL00525-Promosi Program Studi di Media Cetak</t>
  </si>
  <si>
    <t>OTL00526</t>
  </si>
  <si>
    <t>Promosi Program Studi di Media Online</t>
  </si>
  <si>
    <t>OTL00526-Promosi Program Studi di Media Online</t>
  </si>
  <si>
    <t>OTL00527</t>
  </si>
  <si>
    <t>Insentif Partner untuk Penerimaan Mahasiswa</t>
  </si>
  <si>
    <t>OTL00527-Insentif Partner untuk Penerimaan Mahasiswa</t>
  </si>
  <si>
    <t>Pemberian insentif untuk program Admission Partner dan sejenisnya. Diberikan kepada pihak eksternal yang bekerjasama dengan Universitas dalam proses rekrutmen mahasiswa baru.</t>
  </si>
  <si>
    <t>OTL00528</t>
  </si>
  <si>
    <t>Pembuatan Materi Promosi Program Studi</t>
  </si>
  <si>
    <t>OTL00528-Pembuatan Materi Promosi Program Studi</t>
  </si>
  <si>
    <t>Pembuatan materi promosi berupa brosur, booklet profil program studi, daftar harga, dan materi cetak lainnya yang dibagikan atau diperlihatkan kepada calon mahasiswa potensial dalam berbagai kegiatan promosi.</t>
  </si>
  <si>
    <t>OTL00529</t>
  </si>
  <si>
    <t>Insentif Penerimaan Mahasiswa untuk Internal Universitas</t>
  </si>
  <si>
    <t>OTL00529-Insentif Penerimaan Mahasiswa untuk Internal Universitas</t>
  </si>
  <si>
    <t>Pemberian insentif untuk program Friend Get Friend dan sejenisnya. Diberikan kepada pihak internal (pegawai) yang mereferensikan mahasiswa baru untuk mendaftar sebagai mahasiswa baru di UMC.</t>
  </si>
  <si>
    <t>OTL005210</t>
  </si>
  <si>
    <t>Pengganti Biaya Komunikasi untuk Frontliner/Operator Hotline</t>
  </si>
  <si>
    <t>OTL005210-Pengganti Biaya Komunikasi untuk Frontliner/Operator Hotline</t>
  </si>
  <si>
    <t>Pengganti biaya komunikasi (pulsa) untuk operator hotline di Bagian Pemasaran (terdapat 2 nomor hotline) yang selalu bisa dihubungi oleh calon mahasiswa.</t>
  </si>
  <si>
    <t>OTL005211</t>
  </si>
  <si>
    <t>Kegiatan Promosi Universitas yang diselenggarakan oleh Univ sendiri</t>
  </si>
  <si>
    <t>OTL005211-Kegiatan Promosi Universitas yang diselenggarakan oleh Univ sendiri</t>
  </si>
  <si>
    <t>Penyelenggaraan kegiatan promosi yang direncanakan oleh Bagian Pemasaran dan/atau Program Studi dalam upaya untuk meningkatkan jumlah mahasiswa baru.</t>
  </si>
  <si>
    <t>OTL005212</t>
  </si>
  <si>
    <t>Dana Pendamping Hibah Institusional Tata Kelola</t>
  </si>
  <si>
    <t>OTL005212-Dana Pendamping Hibah Institusional Tata Kelola</t>
  </si>
  <si>
    <t xml:space="preserve">Pendamping dana hibah yang diterima oleh universitas (bukan hibah individu). Dalam setiap hibah institusional (khususnya dari Kemendikbudikti) biasanya terdapat dana yang harus dikomitmenkan oleh Universitas untuk mendampingi dana hibah eksternal yang diberikan </t>
  </si>
  <si>
    <t>Penyelenggaraan Kegiatan Income Generating</t>
  </si>
  <si>
    <t>OTL00531</t>
  </si>
  <si>
    <t>Kegiatan IG Offline Berbayar</t>
  </si>
  <si>
    <t>OTL00531-Kegiatan IG Offline Berbayar</t>
  </si>
  <si>
    <t>Penyelenggaran kegiatan IG yang dikoordinasi oleh Unit IG berupa Pelatihan atau sejenisnya yang bersifat Offline/Onsite berbayar.</t>
  </si>
  <si>
    <t>OTL00532</t>
  </si>
  <si>
    <t>Kegiatan IG Online Berbayar</t>
  </si>
  <si>
    <t>OTL00532-Kegiatan IG Online Berbayar</t>
  </si>
  <si>
    <t>Penyelenggaran kegiatan IG yang dikoordinasi oleh Unit IG berupa Pelatihan atau sejenisnya yang bersifat Online/Daring berbayar.</t>
  </si>
  <si>
    <t>OTL00533</t>
  </si>
  <si>
    <t>Sertifikasi Berbayar</t>
  </si>
  <si>
    <t>OTL00533-Sertifikasi Berbayar</t>
  </si>
  <si>
    <t>Kegiatan penyelenggaran kegiatan IG yang dikoordinasi oleh Unit IG untuk kegiatan Sertifikasi Berbayar untuk penyelenggaraan dan honor tutor.</t>
  </si>
  <si>
    <t>OTL00534</t>
  </si>
  <si>
    <t>Pembuatan Gimmick Promosi IG</t>
  </si>
  <si>
    <t>OTL00534-Pembuatan Gimmick Promosi IG</t>
  </si>
  <si>
    <t>Pembuatan gimmick promosi untuk diberikan kepada calon klien baru dalam kegiatan-kegiatan promosi oleh Unit IG</t>
  </si>
  <si>
    <t>OTL00535</t>
  </si>
  <si>
    <t>Penyambutan Klien IG</t>
  </si>
  <si>
    <t>OTL00535-Penyambutan Klien IG</t>
  </si>
  <si>
    <t>Pembelian makanan dan/atau souvenir untuk tamu yang datang dan potensial sebagai klien, termasuk untuk tenant di MDC.</t>
  </si>
  <si>
    <t>OTL00536</t>
  </si>
  <si>
    <t>Pembuatan Materi Promosi Kegiatan IG</t>
  </si>
  <si>
    <t>OTL00536-Pembuatan Materi Promosi Kegiatan IG</t>
  </si>
  <si>
    <t>Pembuatan materi promosi berupa brosur, booklet profil produk, daftar harga, dan materi cetak lainnya yang dibagikan atau diperlihatkan kepada calon pelanggan potensial dalam berbagai kegiatan promosi.</t>
  </si>
  <si>
    <t>OTL00537</t>
  </si>
  <si>
    <t>Penjajakan Kerjasama IG</t>
  </si>
  <si>
    <t>OTL00537-Penjajakan Kerjasama IG</t>
  </si>
  <si>
    <t>INV</t>
  </si>
  <si>
    <t>Investasi</t>
  </si>
  <si>
    <t>INV-Investasi</t>
  </si>
  <si>
    <t>Keterangan</t>
  </si>
  <si>
    <t>MAK yang Aktif adalah mata anggaran yang dapat diajukan oleh unit kerja</t>
  </si>
  <si>
    <t>MAK Tidak Aktif adalah mata anggaran yang tidak dapat diajukan oleh unit kerja atas pertimbangan Pimpinan Universitas pada suatu periode (terkait efektivitas atau efisiensi anggaran.)</t>
  </si>
  <si>
    <t>Periode</t>
  </si>
  <si>
    <t>Sumber dana</t>
  </si>
  <si>
    <t>Metode Pencairan</t>
  </si>
  <si>
    <t>I (SEPT - NOV)</t>
  </si>
  <si>
    <t>RKAT 2024/2025</t>
  </si>
  <si>
    <t>Transfer Vendor</t>
  </si>
  <si>
    <t>II (DES - FEB)</t>
  </si>
  <si>
    <t>RKAT 2025/2026</t>
  </si>
  <si>
    <t>Kas Kecil</t>
  </si>
  <si>
    <t>III (MAR-MEI)</t>
  </si>
  <si>
    <t>IV (JUN-AUG)</t>
  </si>
  <si>
    <t>KETERANGAN SATUAN</t>
  </si>
  <si>
    <t>Artikel</t>
  </si>
  <si>
    <t>1/2 Halaman</t>
  </si>
  <si>
    <t>Buah</t>
  </si>
  <si>
    <t>barang satuan</t>
  </si>
  <si>
    <t>1/4 Halaman</t>
  </si>
  <si>
    <t>Bulan</t>
  </si>
  <si>
    <t>Biji</t>
  </si>
  <si>
    <t>cc</t>
  </si>
  <si>
    <t>ukuran cc</t>
  </si>
  <si>
    <t>Box</t>
  </si>
  <si>
    <t>Eksemplar</t>
  </si>
  <si>
    <t>per unit untuk barang berjenis kertas/buku berjilid</t>
  </si>
  <si>
    <t>Galon</t>
  </si>
  <si>
    <t xml:space="preserve">Gram </t>
  </si>
  <si>
    <t>Bungkus</t>
  </si>
  <si>
    <t>Hari</t>
  </si>
  <si>
    <t>hari</t>
  </si>
  <si>
    <t>Cm</t>
  </si>
  <si>
    <t>Jam</t>
  </si>
  <si>
    <t>jam</t>
  </si>
  <si>
    <t xml:space="preserve">Dus </t>
  </si>
  <si>
    <t>Kali</t>
  </si>
  <si>
    <t>banyaknya  kegiatan</t>
  </si>
  <si>
    <t>Kegiatan</t>
  </si>
  <si>
    <t>Kilogram</t>
  </si>
  <si>
    <t>Gram</t>
  </si>
  <si>
    <t>Kolom</t>
  </si>
  <si>
    <t>Kotak</t>
  </si>
  <si>
    <t>per unit untuk barang yang diletakkan dalam kotak/dus</t>
  </si>
  <si>
    <t>Lembar</t>
  </si>
  <si>
    <t>per unit untuk barang berjenis lembaran</t>
  </si>
  <si>
    <t>Liter</t>
  </si>
  <si>
    <t>Kali pembelian</t>
  </si>
  <si>
    <t>M2</t>
  </si>
  <si>
    <t>M3</t>
  </si>
  <si>
    <t>Kg</t>
  </si>
  <si>
    <t>Miligram</t>
  </si>
  <si>
    <t>Mililiter</t>
  </si>
  <si>
    <t>Minggu</t>
  </si>
  <si>
    <t>Orang per bulan</t>
  </si>
  <si>
    <t>Orang per hari</t>
  </si>
  <si>
    <t>Meter</t>
  </si>
  <si>
    <t>Orang per jam</t>
  </si>
  <si>
    <t>Orang per kegiatan</t>
  </si>
  <si>
    <t>Orang per minggu</t>
  </si>
  <si>
    <t>Mili liter</t>
  </si>
  <si>
    <t>Orang per perjalanan</t>
  </si>
  <si>
    <t>per pemasangan</t>
  </si>
  <si>
    <t>per penambahan</t>
  </si>
  <si>
    <t>Perkwh</t>
  </si>
  <si>
    <t>Proyek</t>
  </si>
  <si>
    <t>Rim</t>
  </si>
  <si>
    <t>satuan 500 lembar</t>
  </si>
  <si>
    <t>Ton</t>
  </si>
  <si>
    <t>Unit</t>
  </si>
  <si>
    <t>Barang secara umum</t>
  </si>
  <si>
    <t>Orang/ Kegiatan</t>
  </si>
  <si>
    <t>Orang/Bulan</t>
  </si>
  <si>
    <t>Orang/Jam</t>
  </si>
  <si>
    <t>PENCAIRAN 2025</t>
  </si>
  <si>
    <t>pemasangan</t>
  </si>
  <si>
    <t>I/SEP/2025</t>
  </si>
  <si>
    <t>penambahan</t>
  </si>
  <si>
    <t>II/SEP/2025</t>
  </si>
  <si>
    <t>per kwh</t>
  </si>
  <si>
    <t>III/SEP/2025</t>
  </si>
  <si>
    <t>IV/SEP/2025</t>
  </si>
  <si>
    <t>I/OKT/2025</t>
  </si>
  <si>
    <t>II/OKT/2025</t>
  </si>
  <si>
    <t>Tabung</t>
  </si>
  <si>
    <t>III/OKT/2025</t>
  </si>
  <si>
    <t>IV/OKT/2025</t>
  </si>
  <si>
    <t>Triwulan</t>
  </si>
  <si>
    <t>V/OKT/2025</t>
  </si>
  <si>
    <t>I/NOV/2025</t>
  </si>
  <si>
    <t>II/NOV/2025</t>
  </si>
  <si>
    <t>III/NOV/2025</t>
  </si>
  <si>
    <t>IV/NOV/2025</t>
  </si>
  <si>
    <t>I/DES/2025</t>
  </si>
  <si>
    <t>II/DES/2025</t>
  </si>
  <si>
    <t>III/DES/2025</t>
  </si>
  <si>
    <t>IV/DES/2025</t>
  </si>
  <si>
    <t>I/JAN/2026</t>
  </si>
  <si>
    <t>II/JAN/2026</t>
  </si>
  <si>
    <t>III/JAN/2026</t>
  </si>
  <si>
    <t>IV/JAN/2026</t>
  </si>
  <si>
    <t>V/JAN/2026</t>
  </si>
  <si>
    <t>I/FEB/2026</t>
  </si>
  <si>
    <t>II/FEB/2026</t>
  </si>
  <si>
    <t>III/FEB/2026</t>
  </si>
  <si>
    <t>IV/FEB/2026</t>
  </si>
  <si>
    <t>I/MAR/2026</t>
  </si>
  <si>
    <t>II/MAR/2026</t>
  </si>
  <si>
    <t>III/MAR/2026</t>
  </si>
  <si>
    <t>IV/MAR/2026</t>
  </si>
  <si>
    <t>I/APR/2026</t>
  </si>
  <si>
    <t>II/APR/2026</t>
  </si>
  <si>
    <t>III/APR/2026</t>
  </si>
  <si>
    <t>IV/APR/2026</t>
  </si>
  <si>
    <t>V/APR/2026</t>
  </si>
  <si>
    <t>I/MEI/2026</t>
  </si>
  <si>
    <t>II/MEI/2026</t>
  </si>
  <si>
    <t>III/MEI/2026</t>
  </si>
  <si>
    <t>IV/MEI/2026</t>
  </si>
  <si>
    <t>I/JUN/2026</t>
  </si>
  <si>
    <t>II/JUN/2026</t>
  </si>
  <si>
    <t>III/JUN/2026</t>
  </si>
  <si>
    <t>IV/JUN/2026</t>
  </si>
  <si>
    <t>I/JUL/2026</t>
  </si>
  <si>
    <t>II/JUL/2026</t>
  </si>
  <si>
    <t>III/JUL/2026</t>
  </si>
  <si>
    <t>IV/JUL/2026</t>
  </si>
  <si>
    <t>V/JUL/2026</t>
  </si>
  <si>
    <t>I/AGT/2026</t>
  </si>
  <si>
    <t>II/AGT/2026</t>
  </si>
  <si>
    <t>III/AGT/2026</t>
  </si>
  <si>
    <t>IV/AGT/2026</t>
  </si>
  <si>
    <t>NAMA UNIT</t>
  </si>
  <si>
    <t>Kode Unit</t>
  </si>
  <si>
    <t>Fakultas Ekonomi dan Bisnis</t>
  </si>
  <si>
    <t>FEB</t>
  </si>
  <si>
    <t>Program Studi Manajemen</t>
  </si>
  <si>
    <t>MAN</t>
  </si>
  <si>
    <t>Program Studi Akuntansi</t>
  </si>
  <si>
    <t>AKT</t>
  </si>
  <si>
    <t>Program Studi Magister Manajemen Inovasi</t>
  </si>
  <si>
    <t>MMI</t>
  </si>
  <si>
    <t>Fakultas Bahasa</t>
  </si>
  <si>
    <t>FB</t>
  </si>
  <si>
    <t>Program Studi Sastra Inggris</t>
  </si>
  <si>
    <t>SASING</t>
  </si>
  <si>
    <t>Program Studi Pendidikan Bahasa Mandarin</t>
  </si>
  <si>
    <t>PPBM</t>
  </si>
  <si>
    <t>Fakultas Teknologi  dan Desain</t>
  </si>
  <si>
    <t>FTD</t>
  </si>
  <si>
    <t xml:space="preserve">Program Studi Teknik Informatika </t>
  </si>
  <si>
    <t>IF</t>
  </si>
  <si>
    <t>Program Studi Sistem Informasi</t>
  </si>
  <si>
    <t>SI</t>
  </si>
  <si>
    <t>Program Studi Desain Komunikasi Visual</t>
  </si>
  <si>
    <t>DKV</t>
  </si>
  <si>
    <t>Program Studi Teknik Industri</t>
  </si>
  <si>
    <t>TI</t>
  </si>
  <si>
    <t>Fakultas Ilmu Kesehatan</t>
  </si>
  <si>
    <t>FIK</t>
  </si>
  <si>
    <t>Program Studi Farmasi</t>
  </si>
  <si>
    <t>FAR</t>
  </si>
  <si>
    <t>Program Studi Optometri</t>
  </si>
  <si>
    <t>OPTO</t>
  </si>
  <si>
    <t>Program Studi Pendidikan Profesi Apoteker</t>
  </si>
  <si>
    <t>PSPPA</t>
  </si>
  <si>
    <t>Bagian Aset</t>
  </si>
  <si>
    <t>ASET</t>
  </si>
  <si>
    <t>Bagian Administrasi Akademik</t>
  </si>
  <si>
    <t>BAA</t>
  </si>
  <si>
    <t>Bagian Kemahasiswaan, Alumni dan Pusat Karir</t>
  </si>
  <si>
    <t>BKAPK</t>
  </si>
  <si>
    <t>Bagian Pemasaran dan Inovasi Bisnis</t>
  </si>
  <si>
    <t>BPIB</t>
  </si>
  <si>
    <t>Bagian Kerjasama dan Urusan Internasional</t>
  </si>
  <si>
    <t>KUI</t>
  </si>
  <si>
    <t>Lembaga Penjaminan Mutu dan Pengawasan Internal</t>
  </si>
  <si>
    <t>LPMPI</t>
  </si>
  <si>
    <t>Lembaga Penelitian, Pengabdian Masyarakat dan Inovasi</t>
  </si>
  <si>
    <t>LPPMI</t>
  </si>
  <si>
    <t>Bagian Pengelolaan Sumber Daya Manusia</t>
  </si>
  <si>
    <t>PSDM</t>
  </si>
  <si>
    <t>Unit Pendidikan Karakter</t>
  </si>
  <si>
    <t>PENDIKAR</t>
  </si>
  <si>
    <t>Badan Perencanaan, Pengembangan dan Pengelolaan Keuangan</t>
  </si>
  <si>
    <t>BPPPK</t>
  </si>
  <si>
    <t>Kantor Sekretariat Pimpinan</t>
  </si>
  <si>
    <t>SEKPIM</t>
  </si>
  <si>
    <t>Unit Perpustakaan</t>
  </si>
  <si>
    <t>PERPUS</t>
  </si>
  <si>
    <t>Unit Sistem Informasi dan Pusat Data</t>
  </si>
  <si>
    <t>SIPUSDAT</t>
  </si>
  <si>
    <t>Bagian Humas</t>
  </si>
  <si>
    <t>HUMAS</t>
  </si>
  <si>
    <t>FORMULIR PENCAIRAN ANGGARAN TAHUN AKADEMIK 2025/2026</t>
  </si>
  <si>
    <t>UNIVERSITAS MA CHUNG</t>
  </si>
  <si>
    <t>Unit Kerja</t>
  </si>
  <si>
    <t>FPA - B</t>
  </si>
  <si>
    <t>Sub Unit</t>
  </si>
  <si>
    <t>Periode RKATR</t>
  </si>
  <si>
    <t>I (SEP - NOV)</t>
  </si>
  <si>
    <t>Tanggal Pengajuan</t>
  </si>
  <si>
    <t>Nomor FPA</t>
  </si>
  <si>
    <t>XX/FPA-B/PER04/--</t>
  </si>
  <si>
    <t>Sumber Dana</t>
  </si>
  <si>
    <t>Nama Kegiatan</t>
  </si>
  <si>
    <t>Rincian Kegiatan</t>
  </si>
  <si>
    <t>Rincian Biaya</t>
  </si>
  <si>
    <t>Volume</t>
  </si>
  <si>
    <t xml:space="preserve">Satuan </t>
  </si>
  <si>
    <t>Biaya Satuan</t>
  </si>
  <si>
    <t>Total Biaya</t>
  </si>
  <si>
    <t>Waktu Pencairan</t>
  </si>
  <si>
    <t xml:space="preserve">Indikator Kinerja </t>
  </si>
  <si>
    <t>Nama PIC/Nama Vendor sesuai Invoice</t>
  </si>
  <si>
    <t>TOTAL PENGAJUAN FPA</t>
  </si>
  <si>
    <t>Penyusun FPA,</t>
  </si>
  <si>
    <t>Pengusul Kegiatan,</t>
  </si>
  <si>
    <t>Penanggungjawab Kegiatan,</t>
  </si>
  <si>
    <t>Memeriksa,</t>
  </si>
  <si>
    <t>Menyetujui,</t>
  </si>
  <si>
    <t>Tanggal:</t>
  </si>
  <si>
    <t>Nama Penyusun FPA</t>
  </si>
  <si>
    <t>Nama Kaprodi</t>
  </si>
  <si>
    <t>Nama Dekan</t>
  </si>
  <si>
    <t>Yefi Farida</t>
  </si>
  <si>
    <t>Prita Ika Dewi, S.TP., M.M.</t>
  </si>
  <si>
    <t>Jabatan dalam Unit Kerja</t>
  </si>
  <si>
    <t>Kaprodi …</t>
  </si>
  <si>
    <t>Dekan Fakultas …</t>
  </si>
  <si>
    <t>Staf Bagian Keuangan - BPPPK</t>
  </si>
  <si>
    <t>Kepala BPPPK</t>
  </si>
  <si>
    <t>Singkatan</t>
  </si>
  <si>
    <t>02/FPA-B/PER02/25</t>
  </si>
  <si>
    <t xml:space="preserve">Asesmen Lapangan pengajuan reakreditasi Prodi Farmasi dan PSPPA ( 9 -13 Desember 2025)  </t>
  </si>
  <si>
    <t>Pengadaan bukti pendukung</t>
  </si>
  <si>
    <t>Penggandaan dan Jilid dokumen bukti pendukung</t>
  </si>
  <si>
    <t>Irfan Tri Raharjo, SE, ME.</t>
  </si>
  <si>
    <t>Terlaksananya kegiatan asesmen lapangan dengan lancar dan tersedianya LPJ Kegiatan 2 minggu setelah pelaksanaan kegiatan</t>
  </si>
  <si>
    <t>Biaya penjemputan /pengantaran  3 orang asesor (PP)</t>
  </si>
  <si>
    <t xml:space="preserve">Biaya penjemputan/pengantaran   asesor </t>
  </si>
  <si>
    <t xml:space="preserve">apt. Martanty Aditya, M.Farm-Klin </t>
  </si>
  <si>
    <t>Biaya makan malam selama 4 hari  (1 Dekan,1 Perwakilan Pimpinan Univ, 2 Kaprodi, 3 Asesor , 1 Kepala LPMPI, Perwakilan dosen - maksimal 11 orang)</t>
  </si>
  <si>
    <t xml:space="preserve">Biaya makan malam selama 4 hari @ Rp.1.750.000,- </t>
  </si>
  <si>
    <t>Snack dan buah-  meja asesor</t>
  </si>
  <si>
    <t>4 hari @ Rp. 250.000</t>
  </si>
  <si>
    <t xml:space="preserve">Kopi, teh, gula dan snack kletikan selama 4 hari </t>
  </si>
  <si>
    <t>4 hari @ Rp. 475.000</t>
  </si>
  <si>
    <t>Bunga meja asesor</t>
  </si>
  <si>
    <t>2 rangkaian @ Rp. 100.000</t>
  </si>
  <si>
    <t>pcs</t>
  </si>
  <si>
    <t>Buah tangan asesor</t>
  </si>
  <si>
    <t>3 orang @ Rp. 300.000</t>
  </si>
  <si>
    <t>Prof. Dr, Patrisius Istiarto Djiwandono</t>
  </si>
  <si>
    <t>Pjs. Kasubag PI LPMPI</t>
  </si>
  <si>
    <t>Ketua LPMPI</t>
  </si>
  <si>
    <t>Biaya makan siang pimpinan  dan asesor (3 asesor +  7 pimpinan univ/fak/prodi - maksimal 11 orang) - 4 hari</t>
  </si>
  <si>
    <t>Biaya makan siang - nasi kotak @ Rp 45.000 - 11 orang</t>
  </si>
  <si>
    <t>Omaku Catering- yuke evaretta bca. 6115102919</t>
  </si>
  <si>
    <t xml:space="preserve">Biaya makan siang  - 10 Desember 2025 - 68 orang  pendukung AL yang wajib hadir </t>
  </si>
  <si>
    <t>Biaya makan siang - nasi kotak @ Rp 24.000 - 68 orang</t>
  </si>
  <si>
    <t xml:space="preserve">Biaya makan siang  - 11-13 Desember 2025 -40 orang  pendukung AL yang wajib hadir </t>
  </si>
  <si>
    <t>Biaya makan siang - nasi kotak @ Rp 24.000 - 40 orang selama 3 hari</t>
  </si>
  <si>
    <t>Janviera Adriana N, SE, S&gt;KOM, MM</t>
  </si>
  <si>
    <t>FPA - I</t>
  </si>
  <si>
    <t>XX/FPA-I/PER04/--</t>
  </si>
  <si>
    <t>Dekan …</t>
  </si>
  <si>
    <t>Nama Pimpinan Unit</t>
  </si>
  <si>
    <t>Jabatan</t>
  </si>
  <si>
    <t>FPA - S</t>
  </si>
  <si>
    <t>XX/FPA-S/PER04/--</t>
  </si>
  <si>
    <t>Nomor Memo</t>
  </si>
  <si>
    <t>FPA - IG</t>
  </si>
  <si>
    <t>XX/FPA-IG/PER04/--</t>
  </si>
  <si>
    <t>Nama Hibah/Donasi</t>
  </si>
  <si>
    <t>FPA - H/D</t>
  </si>
  <si>
    <t>Pemberi Hibah</t>
  </si>
  <si>
    <t>No SK Hibah</t>
  </si>
  <si>
    <t>XX/FPA-HD/PER04/--</t>
  </si>
  <si>
    <t xml:space="preserve">  </t>
  </si>
  <si>
    <t>(Nama Penyusun FPA)</t>
  </si>
  <si>
    <t>(Nama Ketua Hibah)</t>
  </si>
  <si>
    <t>Bendahara Tim Hibah …</t>
  </si>
  <si>
    <t xml:space="preserve">Ketua Hibah …. </t>
  </si>
  <si>
    <t>2orang @ Rp. 300.000</t>
  </si>
  <si>
    <t>2hari @ Rp.300.000</t>
  </si>
  <si>
    <t xml:space="preserve">cadangan lembur CS </t>
  </si>
  <si>
    <t>orang</t>
  </si>
  <si>
    <t>2 orang x 2 hari x 2 jam x  Rp. 15.000</t>
  </si>
  <si>
    <t>Biaya makan siang  satgas</t>
  </si>
  <si>
    <t>Biaya makan siang satgas</t>
  </si>
  <si>
    <t>Biaya makan malam selama 2 hari  (1 Dekan,1 Perwakilan Pimpinan Univ, 1 Kaprodi, 2 Asesor , 1 Kepala LPMPI, Perwakilan dosen - maksimal 11 orang)</t>
  </si>
  <si>
    <t xml:space="preserve">Biaya makan malam selama 2 hari @ Rp.1.750.000,- </t>
  </si>
  <si>
    <t>Snack satgas hari ke 1</t>
  </si>
  <si>
    <t>Snack satgas hari ke 2</t>
  </si>
  <si>
    <t>Tranfer PIC</t>
  </si>
  <si>
    <t>Ratna Kristina S.Sos</t>
  </si>
  <si>
    <t>Biaya makan siang pimpinan + asesor (2 asesor, rektor+ 3 WR+ 1 KALPMPI+ 1 dekan + 1 kaprodi) 9 Maret 2026</t>
  </si>
  <si>
    <t>5 Maret 2026</t>
  </si>
  <si>
    <t>Biaya makan siang pimpinan + asesor (2 asesor, rektor+ 3 WR+ 1 KALPMPI+ 1 dekan + 1 kaprodi) 10 Maret 2026</t>
  </si>
  <si>
    <t>Irfan Tri Raharjo, SE., ME</t>
  </si>
  <si>
    <t>Kasubag PM-LPMPI</t>
  </si>
  <si>
    <t>Tanggal: 3 Maret 2026</t>
  </si>
  <si>
    <t>Cadangan biaya penjemputan 2 orang asesor (8 Maret 2026) oleh 2 orang penjemput (dekan dan kaprodi)</t>
  </si>
  <si>
    <t xml:space="preserve">Biaya penjemputan asesor </t>
  </si>
  <si>
    <t>Biaya makan siang hari 1 (9 Maret 2026): pengguna lulusan - 4 perwakilan perusahaan nasional</t>
  </si>
  <si>
    <t xml:space="preserve">Biaya makan siang hari 1 pimpinan + asesor </t>
  </si>
  <si>
    <t>Biaya makan siang hari 1 pengguna lulusan</t>
  </si>
  <si>
    <t>Biaya makan siang hari 1 (9 Maret 2026): satgas (15), mahasiswa (total 12; 7 pic lab, 5 pic booth), alumni (8), unit pendukung (11)</t>
  </si>
  <si>
    <t>Biaya makan siang hari 2 ( tanggal 10 Maret 2026) : satgas (15) + unit pendukung (11)</t>
  </si>
  <si>
    <t>1 rangkaian @ Rp. 100.000</t>
  </si>
  <si>
    <t>Buah tangan 2 asesor (snack khas Malang)</t>
  </si>
  <si>
    <t>Asesmen Lapangan pengajuan reakreditasi Prodi Teknik Informatika (9-10 Maret 2026)</t>
  </si>
  <si>
    <t>Biaya snack  hari 1 - 46 orang</t>
  </si>
  <si>
    <t>06/FPA-B/PER03/26</t>
  </si>
  <si>
    <t>Prof. Dr. Patrisius Istiarto Djiwandono</t>
  </si>
  <si>
    <t xml:space="preserve">Biaya makan siang hari 2 pimpinan + aseor </t>
  </si>
  <si>
    <t>Biaya snack  hari 2 - 26 orang</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</si>
</sst>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 #,##0_-;\-* #,##0_-;_-* &quot;-&quot;_-;_-@_-"/>
    <numFmt numFmtId="165" formatCode="_-* #,##0.00_-;\-* #,##0.00_-;_-* &quot;-&quot;??_-;_-@_-"/>
    <numFmt numFmtId="166" formatCode="[$-409]dd\-mmm\-yy;@"/>
    <numFmt numFmtId="167" formatCode="_-[$Rp-3809]* #,##0.00_-;\-[$Rp-3809]* #,##0.00_-;_-[$Rp-3809]* &quot;-&quot;??_-;_-@_-"/>
    <numFmt numFmtId="168" formatCode="[$-421]dd\ mmmm\ yyyy;@"/>
  </numFmts>
  <fonts count="27" x14ac:knownFonts="1">
    <font>
      <sz val="11"/>
      <color theme="1"/>
      <name val="Calibri"/>
      <family val="2"/>
      <scheme val="minor"/>
    </font>
    <font>
      <sz val="11"/>
      <color theme="1"/>
      <name val="Calibri"/>
      <family val="2"/>
      <charset val="1"/>
      <scheme val="minor"/>
    </font>
    <font>
      <sz val="9"/>
      <color indexed="81"/>
      <name val="Tahoma"/>
      <family val="2"/>
    </font>
    <font>
      <b/>
      <sz val="9"/>
      <color indexed="81"/>
      <name val="Tahoma"/>
      <family val="2"/>
    </font>
    <font>
      <sz val="10"/>
      <color indexed="81"/>
      <name val="Tahoma"/>
      <family val="2"/>
    </font>
    <font>
      <sz val="12"/>
      <color indexed="81"/>
      <name val="Tahoma"/>
      <family val="2"/>
    </font>
    <font>
      <sz val="11"/>
      <color theme="1"/>
      <name val="Calibri"/>
      <family val="2"/>
      <charset val="1"/>
      <scheme val="minor"/>
    </font>
    <font>
      <b/>
      <sz val="11"/>
      <color theme="1"/>
      <name val="Calibri"/>
      <family val="2"/>
      <scheme val="minor"/>
    </font>
    <font>
      <sz val="11"/>
      <color theme="1"/>
      <name val="Calibri"/>
      <family val="2"/>
      <scheme val="minor"/>
    </font>
    <font>
      <sz val="8"/>
      <name val="Calibri"/>
      <family val="2"/>
      <scheme val="minor"/>
    </font>
    <font>
      <sz val="11"/>
      <color theme="1"/>
      <name val="Bookman Old Style"/>
      <family val="1"/>
    </font>
    <font>
      <b/>
      <sz val="18"/>
      <color theme="1"/>
      <name val="Bookman Old Style"/>
      <family val="1"/>
    </font>
    <font>
      <b/>
      <sz val="14"/>
      <color theme="1"/>
      <name val="Bookman Old Style"/>
      <family val="1"/>
    </font>
    <font>
      <b/>
      <sz val="16"/>
      <color theme="1"/>
      <name val="Bookman Old Style"/>
      <family val="1"/>
    </font>
    <font>
      <b/>
      <sz val="12"/>
      <color theme="1"/>
      <name val="Bookman Old Style"/>
      <family val="1"/>
    </font>
    <font>
      <b/>
      <sz val="11"/>
      <color theme="1"/>
      <name val="Bookman Old Style"/>
      <family val="1"/>
    </font>
    <font>
      <u/>
      <sz val="11"/>
      <color theme="1"/>
      <name val="Bookman Old Style"/>
      <family val="1"/>
    </font>
    <font>
      <u/>
      <sz val="11"/>
      <color theme="10"/>
      <name val="Calibri"/>
      <family val="2"/>
      <scheme val="minor"/>
    </font>
    <font>
      <sz val="11"/>
      <color theme="1"/>
      <name val="Cambria"/>
      <family val="1"/>
    </font>
    <font>
      <b/>
      <sz val="11"/>
      <name val="Cambria"/>
      <family val="1"/>
    </font>
    <font>
      <sz val="11"/>
      <name val="Cambria"/>
      <family val="1"/>
    </font>
    <font>
      <b/>
      <sz val="11"/>
      <color theme="1"/>
      <name val="Cambria"/>
      <family val="1"/>
    </font>
    <font>
      <u/>
      <sz val="11"/>
      <color theme="10"/>
      <name val="Cambria"/>
      <family val="1"/>
    </font>
    <font>
      <sz val="12"/>
      <color theme="1"/>
      <name val="Bookman Old Style"/>
      <family val="1"/>
    </font>
    <font>
      <b/>
      <sz val="13"/>
      <color theme="1"/>
      <name val="Bookman Old Style"/>
      <family val="1"/>
    </font>
    <font>
      <sz val="11"/>
      <color rgb="FF000000"/>
      <name val="Bookman Old Style"/>
      <family val="1"/>
    </font>
    <font>
      <u/>
      <sz val="11"/>
      <color rgb="FF000000"/>
      <name val="Bookman Old Style"/>
      <family val="1"/>
    </font>
  </fonts>
  <fills count="9">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bottom style="double">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right/>
      <top/>
      <bottom style="double">
        <color rgb="FF000000"/>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rgb="FF000000"/>
      </bottom>
      <diagonal/>
    </border>
    <border>
      <left style="thin">
        <color indexed="64"/>
      </left>
      <right/>
      <top style="thin">
        <color indexed="64"/>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top style="thin">
        <color rgb="FF000000"/>
      </top>
      <bottom style="thin">
        <color rgb="FF000000"/>
      </bottom>
      <diagonal/>
    </border>
    <border>
      <left/>
      <right/>
      <top style="thin">
        <color rgb="FF000000"/>
      </top>
      <bottom/>
      <diagonal/>
    </border>
    <border>
      <left style="thin">
        <color indexed="64"/>
      </left>
      <right style="thin">
        <color indexed="64"/>
      </right>
      <top/>
      <bottom/>
      <diagonal/>
    </border>
  </borders>
  <cellStyleXfs count="7">
    <xf numFmtId="0" fontId="0" fillId="0" borderId="0"/>
    <xf numFmtId="0" fontId="6" fillId="0" borderId="0"/>
    <xf numFmtId="0" fontId="1" fillId="0" borderId="0"/>
    <xf numFmtId="164" fontId="8" fillId="0" borderId="0" applyFont="0" applyFill="0" applyBorder="0" applyAlignment="0" applyProtection="0"/>
    <xf numFmtId="165" fontId="8" fillId="0" borderId="0" applyFont="0" applyFill="0" applyBorder="0" applyAlignment="0" applyProtection="0"/>
    <xf numFmtId="0" fontId="1" fillId="0" borderId="0"/>
    <xf numFmtId="0" fontId="17" fillId="0" borderId="0" applyNumberFormat="0" applyFill="0" applyBorder="0" applyAlignment="0" applyProtection="0"/>
  </cellStyleXfs>
  <cellXfs count="157">
    <xf numFmtId="0" fontId="0" fillId="0" borderId="0" xfId="0"/>
    <xf numFmtId="0" fontId="0" fillId="0" borderId="1" xfId="0" applyBorder="1" applyAlignment="1">
      <alignment horizontal="left" vertical="top"/>
    </xf>
    <xf numFmtId="0" fontId="0" fillId="0" borderId="1" xfId="0" applyBorder="1"/>
    <xf numFmtId="0" fontId="10" fillId="0" borderId="0" xfId="0" applyFont="1"/>
    <xf numFmtId="0" fontId="12" fillId="0" borderId="0" xfId="0" applyFont="1" applyAlignment="1">
      <alignment horizontal="left" vertical="center"/>
    </xf>
    <xf numFmtId="0" fontId="13" fillId="0" borderId="6" xfId="0" applyFont="1" applyBorder="1" applyAlignment="1">
      <alignment horizontal="center" vertical="center"/>
    </xf>
    <xf numFmtId="0" fontId="14" fillId="4" borderId="5" xfId="0" applyFont="1" applyFill="1" applyBorder="1" applyAlignment="1">
      <alignment horizontal="center" vertical="center" wrapText="1"/>
    </xf>
    <xf numFmtId="0" fontId="10" fillId="0" borderId="1" xfId="0" applyFont="1" applyBorder="1" applyAlignment="1" applyProtection="1">
      <alignment horizontal="left" vertical="top" wrapText="1"/>
      <protection locked="0"/>
    </xf>
    <xf numFmtId="167" fontId="10" fillId="5" borderId="1" xfId="0" applyNumberFormat="1" applyFont="1" applyFill="1" applyBorder="1"/>
    <xf numFmtId="0" fontId="10" fillId="0" borderId="0" xfId="0" applyFont="1" applyProtection="1">
      <protection locked="0"/>
    </xf>
    <xf numFmtId="0" fontId="16" fillId="0" borderId="0" xfId="0" applyFont="1" applyProtection="1">
      <protection locked="0"/>
    </xf>
    <xf numFmtId="0" fontId="16" fillId="0" borderId="0" xfId="0" applyFont="1"/>
    <xf numFmtId="0" fontId="14" fillId="4" borderId="1" xfId="0" applyFont="1" applyFill="1" applyBorder="1" applyAlignment="1">
      <alignment horizontal="center" vertical="center" wrapText="1"/>
    </xf>
    <xf numFmtId="0" fontId="10" fillId="0" borderId="1" xfId="0" applyFont="1" applyBorder="1" applyAlignment="1">
      <alignment horizontal="left" vertical="top"/>
    </xf>
    <xf numFmtId="167" fontId="10" fillId="0" borderId="1" xfId="0" applyNumberFormat="1" applyFont="1" applyBorder="1" applyAlignment="1">
      <alignment horizontal="left" vertical="top"/>
    </xf>
    <xf numFmtId="0" fontId="7" fillId="3" borderId="1" xfId="0" applyFont="1" applyFill="1" applyBorder="1" applyAlignment="1">
      <alignment vertical="center"/>
    </xf>
    <xf numFmtId="0" fontId="12" fillId="0" borderId="0" xfId="0" applyFont="1"/>
    <xf numFmtId="0" fontId="17" fillId="0" borderId="1" xfId="6" applyFill="1" applyBorder="1"/>
    <xf numFmtId="0" fontId="18" fillId="2" borderId="1" xfId="0" applyFont="1" applyFill="1" applyBorder="1" applyAlignment="1">
      <alignment vertical="top" wrapText="1"/>
    </xf>
    <xf numFmtId="0" fontId="10" fillId="0" borderId="0" xfId="0" applyFont="1" applyAlignment="1">
      <alignment horizontal="left"/>
    </xf>
    <xf numFmtId="0" fontId="13" fillId="0" borderId="6" xfId="0" applyFont="1" applyBorder="1" applyAlignment="1">
      <alignment horizontal="left" vertical="center"/>
    </xf>
    <xf numFmtId="0" fontId="14" fillId="4" borderId="9" xfId="0" applyFont="1" applyFill="1" applyBorder="1" applyAlignment="1">
      <alignment horizontal="center" vertical="center" wrapText="1"/>
    </xf>
    <xf numFmtId="0" fontId="10" fillId="0" borderId="9" xfId="0" applyFont="1" applyBorder="1" applyAlignment="1">
      <alignment horizontal="left" vertical="top"/>
    </xf>
    <xf numFmtId="0" fontId="14" fillId="4" borderId="10" xfId="0" applyFont="1" applyFill="1" applyBorder="1" applyAlignment="1">
      <alignment horizontal="center" vertical="center" wrapText="1"/>
    </xf>
    <xf numFmtId="0" fontId="10" fillId="0" borderId="4" xfId="0" applyFont="1" applyBorder="1" applyAlignment="1">
      <alignment horizontal="left" vertical="top"/>
    </xf>
    <xf numFmtId="0" fontId="10" fillId="0" borderId="7" xfId="0" applyFont="1" applyBorder="1"/>
    <xf numFmtId="0" fontId="15" fillId="5" borderId="3" xfId="0" applyFont="1" applyFill="1" applyBorder="1" applyAlignment="1">
      <alignment horizontal="center"/>
    </xf>
    <xf numFmtId="0" fontId="15" fillId="5" borderId="8" xfId="0" applyFont="1" applyFill="1" applyBorder="1" applyAlignment="1">
      <alignment horizontal="center"/>
    </xf>
    <xf numFmtId="0" fontId="15" fillId="5" borderId="4" xfId="0" applyFont="1" applyFill="1" applyBorder="1" applyAlignment="1">
      <alignment horizontal="center"/>
    </xf>
    <xf numFmtId="0" fontId="19" fillId="0" borderId="1" xfId="0" applyFont="1" applyBorder="1" applyAlignment="1">
      <alignment horizontal="center" vertical="top"/>
    </xf>
    <xf numFmtId="0" fontId="19" fillId="0" borderId="1" xfId="0" applyFont="1" applyBorder="1" applyAlignment="1">
      <alignment horizontal="center" vertical="top" wrapText="1"/>
    </xf>
    <xf numFmtId="0" fontId="18" fillId="0" borderId="0" xfId="0" applyFont="1" applyAlignment="1">
      <alignment horizontal="center"/>
    </xf>
    <xf numFmtId="0" fontId="18" fillId="0" borderId="1" xfId="0" applyFont="1" applyBorder="1" applyAlignment="1">
      <alignment vertical="top"/>
    </xf>
    <xf numFmtId="0" fontId="18" fillId="0" borderId="1" xfId="0" applyFont="1" applyBorder="1" applyAlignment="1">
      <alignment vertical="top" wrapText="1"/>
    </xf>
    <xf numFmtId="0" fontId="18" fillId="0" borderId="0" xfId="0" applyFont="1"/>
    <xf numFmtId="0" fontId="18" fillId="2" borderId="1" xfId="0" applyFont="1" applyFill="1" applyBorder="1" applyAlignment="1">
      <alignment vertical="top"/>
    </xf>
    <xf numFmtId="0" fontId="20" fillId="0" borderId="1" xfId="0" applyFont="1" applyBorder="1" applyAlignment="1">
      <alignment vertical="top" wrapText="1"/>
    </xf>
    <xf numFmtId="0" fontId="20" fillId="0" borderId="1" xfId="0" applyFont="1" applyBorder="1" applyAlignment="1">
      <alignment vertical="top"/>
    </xf>
    <xf numFmtId="0" fontId="18" fillId="0" borderId="1" xfId="0" applyFont="1" applyBorder="1" applyAlignment="1">
      <alignment vertical="center" wrapText="1"/>
    </xf>
    <xf numFmtId="0" fontId="20" fillId="2" borderId="1" xfId="0" applyFont="1" applyFill="1" applyBorder="1" applyAlignment="1">
      <alignment vertical="top" wrapText="1"/>
    </xf>
    <xf numFmtId="0" fontId="18" fillId="0" borderId="0" xfId="0" applyFont="1" applyAlignment="1">
      <alignment vertical="top"/>
    </xf>
    <xf numFmtId="0" fontId="18" fillId="0" borderId="0" xfId="0" applyFont="1" applyAlignment="1">
      <alignment vertical="top" wrapText="1"/>
    </xf>
    <xf numFmtId="0" fontId="20" fillId="0" borderId="0" xfId="0" applyFont="1" applyAlignment="1">
      <alignment vertical="top"/>
    </xf>
    <xf numFmtId="0" fontId="18" fillId="0" borderId="0" xfId="0" applyFont="1" applyAlignment="1">
      <alignment vertical="center" wrapText="1"/>
    </xf>
    <xf numFmtId="0" fontId="18" fillId="0" borderId="0" xfId="0" applyFont="1" applyAlignment="1">
      <alignment horizontal="center" vertical="center"/>
    </xf>
    <xf numFmtId="0" fontId="18" fillId="0" borderId="0" xfId="0" applyFont="1" applyAlignment="1">
      <alignment wrapText="1"/>
    </xf>
    <xf numFmtId="0" fontId="21" fillId="3" borderId="1" xfId="0" applyFont="1" applyFill="1" applyBorder="1" applyAlignment="1">
      <alignment vertical="center"/>
    </xf>
    <xf numFmtId="0" fontId="18" fillId="0" borderId="1" xfId="0" applyFont="1" applyBorder="1" applyAlignment="1">
      <alignment horizontal="left" vertical="top"/>
    </xf>
    <xf numFmtId="0" fontId="18" fillId="0" borderId="1" xfId="0" applyFont="1" applyBorder="1" applyAlignment="1">
      <alignment horizontal="left" vertical="top" wrapText="1"/>
    </xf>
    <xf numFmtId="0" fontId="18" fillId="0" borderId="1" xfId="0" applyFont="1" applyBorder="1" applyAlignment="1">
      <alignment wrapText="1"/>
    </xf>
    <xf numFmtId="0" fontId="22" fillId="0" borderId="0" xfId="6" applyFont="1" applyFill="1" applyBorder="1"/>
    <xf numFmtId="0" fontId="18" fillId="0" borderId="0" xfId="0" applyFont="1" applyAlignment="1">
      <alignment horizontal="left" vertical="top"/>
    </xf>
    <xf numFmtId="0" fontId="18" fillId="0" borderId="0" xfId="0" applyFont="1" applyAlignment="1">
      <alignment horizontal="left" vertical="top" wrapText="1"/>
    </xf>
    <xf numFmtId="0" fontId="18" fillId="0" borderId="1" xfId="0" applyFont="1" applyBorder="1" applyAlignment="1">
      <alignment horizontal="left" vertical="center" wrapText="1"/>
    </xf>
    <xf numFmtId="168" fontId="18" fillId="0" borderId="1" xfId="0" applyNumberFormat="1" applyFont="1" applyBorder="1" applyAlignment="1">
      <alignment horizontal="left" vertical="top"/>
    </xf>
    <xf numFmtId="0" fontId="18" fillId="2" borderId="1" xfId="0" applyFont="1" applyFill="1" applyBorder="1" applyAlignment="1">
      <alignment horizontal="left" vertical="center" wrapText="1"/>
    </xf>
    <xf numFmtId="168" fontId="18" fillId="2" borderId="1" xfId="0" applyNumberFormat="1" applyFont="1" applyFill="1" applyBorder="1" applyAlignment="1">
      <alignment horizontal="left" vertical="top"/>
    </xf>
    <xf numFmtId="0" fontId="18" fillId="0" borderId="2" xfId="0" applyFont="1" applyBorder="1" applyAlignment="1">
      <alignment horizontal="left" vertical="center" wrapText="1"/>
    </xf>
    <xf numFmtId="0" fontId="18" fillId="2" borderId="2" xfId="0" applyFont="1" applyFill="1" applyBorder="1" applyAlignment="1">
      <alignment horizontal="left" vertical="center" wrapText="1"/>
    </xf>
    <xf numFmtId="166" fontId="18" fillId="0" borderId="1" xfId="0" applyNumberFormat="1" applyFont="1" applyBorder="1" applyAlignment="1">
      <alignment horizontal="left" vertical="top"/>
    </xf>
    <xf numFmtId="166" fontId="18" fillId="2" borderId="1" xfId="0" applyNumberFormat="1" applyFont="1" applyFill="1" applyBorder="1" applyAlignment="1">
      <alignment horizontal="left" vertical="top"/>
    </xf>
    <xf numFmtId="0" fontId="18" fillId="6" borderId="1" xfId="0" applyFont="1" applyFill="1" applyBorder="1" applyAlignment="1">
      <alignment horizontal="left" vertical="center" wrapText="1"/>
    </xf>
    <xf numFmtId="168" fontId="18" fillId="6" borderId="1" xfId="0" applyNumberFormat="1" applyFont="1" applyFill="1" applyBorder="1" applyAlignment="1">
      <alignment horizontal="left" vertical="top"/>
    </xf>
    <xf numFmtId="0" fontId="21" fillId="0" borderId="0" xfId="0" applyFont="1" applyAlignment="1">
      <alignment horizontal="center" wrapText="1"/>
    </xf>
    <xf numFmtId="0" fontId="15" fillId="5" borderId="3" xfId="0" applyFont="1" applyFill="1" applyBorder="1" applyAlignment="1">
      <alignment horizontal="left"/>
    </xf>
    <xf numFmtId="0" fontId="15" fillId="5" borderId="8" xfId="0" applyFont="1" applyFill="1" applyBorder="1" applyAlignment="1">
      <alignment horizontal="left"/>
    </xf>
    <xf numFmtId="0" fontId="15" fillId="5" borderId="4" xfId="0" applyFont="1" applyFill="1" applyBorder="1" applyAlignment="1">
      <alignment horizontal="left"/>
    </xf>
    <xf numFmtId="0" fontId="23" fillId="0" borderId="0" xfId="0" applyFont="1"/>
    <xf numFmtId="0" fontId="24" fillId="0" borderId="0" xfId="0" applyFont="1"/>
    <xf numFmtId="0" fontId="10" fillId="0" borderId="0" xfId="0" applyFont="1" applyAlignment="1">
      <alignment horizontal="center"/>
    </xf>
    <xf numFmtId="0" fontId="23" fillId="0" borderId="0" xfId="0" applyFont="1" applyAlignment="1">
      <alignment horizontal="center"/>
    </xf>
    <xf numFmtId="0" fontId="10" fillId="0" borderId="1" xfId="0" applyFont="1" applyBorder="1" applyAlignment="1">
      <alignment horizontal="left" vertical="center"/>
    </xf>
    <xf numFmtId="167" fontId="10" fillId="0" borderId="1" xfId="0" applyNumberFormat="1" applyFont="1" applyBorder="1" applyAlignment="1">
      <alignment horizontal="left" vertical="center"/>
    </xf>
    <xf numFmtId="0" fontId="10" fillId="0" borderId="1" xfId="0" applyFont="1" applyBorder="1" applyAlignment="1">
      <alignment horizontal="center" vertical="center"/>
    </xf>
    <xf numFmtId="0" fontId="10" fillId="0" borderId="1" xfId="0" applyFont="1" applyBorder="1" applyAlignment="1" applyProtection="1">
      <alignment horizontal="left" vertical="center" wrapText="1"/>
      <protection locked="0"/>
    </xf>
    <xf numFmtId="0" fontId="10" fillId="0" borderId="0" xfId="0" applyFont="1" applyAlignment="1">
      <alignment vertical="center"/>
    </xf>
    <xf numFmtId="0" fontId="10" fillId="0" borderId="0" xfId="0" applyFont="1" applyAlignment="1" applyProtection="1">
      <alignment vertical="center"/>
      <protection locked="0"/>
    </xf>
    <xf numFmtId="0" fontId="16" fillId="0" borderId="0" xfId="0" applyFont="1" applyAlignment="1" applyProtection="1">
      <alignment vertical="center"/>
      <protection locked="0"/>
    </xf>
    <xf numFmtId="0" fontId="10" fillId="0" borderId="9" xfId="0" applyFont="1" applyBorder="1" applyAlignment="1">
      <alignment horizontal="left" vertical="center"/>
    </xf>
    <xf numFmtId="0" fontId="10" fillId="0" borderId="4" xfId="0" applyFont="1" applyBorder="1" applyAlignment="1">
      <alignment horizontal="left" vertical="center"/>
    </xf>
    <xf numFmtId="0" fontId="21" fillId="7" borderId="0" xfId="0" applyFont="1" applyFill="1" applyAlignment="1">
      <alignment vertical="center"/>
    </xf>
    <xf numFmtId="0" fontId="21" fillId="7" borderId="0" xfId="0" applyFont="1" applyFill="1" applyAlignment="1">
      <alignment vertical="center" wrapText="1"/>
    </xf>
    <xf numFmtId="0" fontId="21" fillId="7" borderId="0" xfId="0" applyFont="1" applyFill="1"/>
    <xf numFmtId="0" fontId="25" fillId="0" borderId="0" xfId="0" applyFont="1" applyAlignment="1">
      <alignment horizontal="left" vertical="top" wrapText="1"/>
    </xf>
    <xf numFmtId="0" fontId="26" fillId="0" borderId="0" xfId="0" applyFont="1"/>
    <xf numFmtId="0" fontId="25" fillId="0" borderId="0" xfId="0" applyFont="1"/>
    <xf numFmtId="0" fontId="10" fillId="0" borderId="9" xfId="0" applyFont="1" applyBorder="1" applyAlignment="1">
      <alignment horizontal="left" vertical="center" wrapText="1"/>
    </xf>
    <xf numFmtId="0" fontId="10" fillId="0" borderId="9" xfId="0" applyFont="1" applyBorder="1" applyAlignment="1">
      <alignment horizontal="center" vertical="center"/>
    </xf>
    <xf numFmtId="0" fontId="25" fillId="0" borderId="9" xfId="0" applyFont="1" applyBorder="1" applyAlignment="1">
      <alignment horizontal="left" vertical="top" wrapText="1"/>
    </xf>
    <xf numFmtId="0" fontId="10" fillId="0" borderId="5" xfId="0" applyFont="1" applyBorder="1" applyAlignment="1">
      <alignment horizontal="left" vertical="center"/>
    </xf>
    <xf numFmtId="0" fontId="15" fillId="5" borderId="12" xfId="0" applyFont="1" applyFill="1" applyBorder="1" applyAlignment="1">
      <alignment horizontal="left" vertical="center"/>
    </xf>
    <xf numFmtId="0" fontId="15" fillId="5" borderId="13" xfId="0" applyFont="1" applyFill="1" applyBorder="1" applyAlignment="1">
      <alignment horizontal="center" vertical="center"/>
    </xf>
    <xf numFmtId="0" fontId="15" fillId="5" borderId="14" xfId="0" applyFont="1" applyFill="1" applyBorder="1" applyAlignment="1">
      <alignment horizontal="center" vertical="center"/>
    </xf>
    <xf numFmtId="167" fontId="10" fillId="5" borderId="2" xfId="0" applyNumberFormat="1" applyFont="1" applyFill="1" applyBorder="1" applyAlignment="1">
      <alignment vertical="center"/>
    </xf>
    <xf numFmtId="3" fontId="10" fillId="0" borderId="9" xfId="0" applyNumberFormat="1" applyFont="1" applyBorder="1" applyAlignment="1">
      <alignment horizontal="left" vertical="center"/>
    </xf>
    <xf numFmtId="0" fontId="10" fillId="0" borderId="16" xfId="0" applyFont="1" applyBorder="1" applyAlignment="1">
      <alignment horizontal="center" vertical="center" wrapText="1"/>
    </xf>
    <xf numFmtId="3" fontId="10" fillId="0" borderId="0" xfId="0" applyNumberFormat="1" applyFont="1"/>
    <xf numFmtId="0" fontId="10" fillId="0" borderId="9" xfId="0" applyFont="1" applyBorder="1" applyAlignment="1">
      <alignment vertical="center"/>
    </xf>
    <xf numFmtId="0" fontId="14" fillId="4" borderId="17" xfId="0" applyFont="1" applyFill="1" applyBorder="1" applyAlignment="1">
      <alignment horizontal="center" vertical="center" wrapText="1"/>
    </xf>
    <xf numFmtId="0" fontId="10" fillId="0" borderId="3" xfId="0" applyFont="1" applyBorder="1" applyAlignment="1">
      <alignment horizontal="left" vertical="center" wrapText="1"/>
    </xf>
    <xf numFmtId="0" fontId="10" fillId="0" borderId="17" xfId="0" applyFont="1" applyBorder="1" applyAlignment="1">
      <alignment horizontal="left" vertical="center" wrapText="1"/>
    </xf>
    <xf numFmtId="0" fontId="10" fillId="0" borderId="18" xfId="0" applyFont="1" applyBorder="1" applyAlignment="1">
      <alignment horizontal="left" vertical="center"/>
    </xf>
    <xf numFmtId="3" fontId="10" fillId="0" borderId="19" xfId="0" applyNumberFormat="1" applyFont="1" applyBorder="1" applyAlignment="1">
      <alignment horizontal="left" vertical="center"/>
    </xf>
    <xf numFmtId="3" fontId="10" fillId="0" borderId="20" xfId="0" applyNumberFormat="1" applyFont="1" applyBorder="1" applyAlignment="1">
      <alignment horizontal="left" vertical="center"/>
    </xf>
    <xf numFmtId="0" fontId="25" fillId="0" borderId="1" xfId="0" applyFont="1" applyBorder="1" applyAlignment="1">
      <alignment horizontal="left" vertical="top" wrapText="1"/>
    </xf>
    <xf numFmtId="0" fontId="10" fillId="0" borderId="19" xfId="0" applyFont="1" applyBorder="1" applyAlignment="1">
      <alignment horizontal="left" vertical="center"/>
    </xf>
    <xf numFmtId="0" fontId="10" fillId="0" borderId="23" xfId="0" applyFont="1" applyBorder="1" applyAlignment="1">
      <alignment horizontal="center" vertical="center"/>
    </xf>
    <xf numFmtId="0" fontId="10" fillId="0" borderId="24" xfId="0" applyFont="1" applyBorder="1" applyAlignment="1">
      <alignment horizontal="center" vertical="center"/>
    </xf>
    <xf numFmtId="0" fontId="10" fillId="0" borderId="18" xfId="0" applyFont="1" applyBorder="1" applyAlignment="1">
      <alignment horizontal="left" vertical="center" wrapText="1"/>
    </xf>
    <xf numFmtId="0" fontId="10" fillId="0" borderId="19" xfId="0" applyFont="1" applyBorder="1" applyAlignment="1">
      <alignment horizontal="left" vertical="center" wrapText="1"/>
    </xf>
    <xf numFmtId="0" fontId="10" fillId="8" borderId="13" xfId="0" applyFont="1" applyFill="1" applyBorder="1" applyAlignment="1">
      <alignment horizontal="left" vertical="center"/>
    </xf>
    <xf numFmtId="0" fontId="10" fillId="8" borderId="9" xfId="0" applyFont="1" applyFill="1" applyBorder="1" applyAlignment="1">
      <alignment horizontal="left" vertical="center"/>
    </xf>
    <xf numFmtId="0" fontId="10" fillId="0" borderId="16" xfId="0" applyFont="1" applyBorder="1" applyAlignment="1">
      <alignment horizontal="center" vertical="center"/>
    </xf>
    <xf numFmtId="3" fontId="10" fillId="0" borderId="16" xfId="0" applyNumberFormat="1" applyFont="1" applyBorder="1" applyAlignment="1">
      <alignment horizontal="left" vertical="center"/>
    </xf>
    <xf numFmtId="0" fontId="10" fillId="0" borderId="25" xfId="0" applyFont="1" applyBorder="1" applyAlignment="1">
      <alignment horizontal="left" vertical="center"/>
    </xf>
    <xf numFmtId="0" fontId="25" fillId="0" borderId="0" xfId="0" applyFont="1" applyAlignment="1">
      <alignment vertical="top"/>
    </xf>
    <xf numFmtId="3" fontId="10" fillId="0" borderId="26" xfId="0" applyNumberFormat="1" applyFont="1" applyBorder="1" applyAlignment="1">
      <alignment horizontal="left" vertical="center"/>
    </xf>
    <xf numFmtId="0" fontId="10" fillId="0" borderId="1" xfId="0" applyFont="1" applyBorder="1" applyAlignment="1">
      <alignment vertical="center"/>
    </xf>
    <xf numFmtId="0" fontId="10" fillId="0" borderId="1" xfId="0" applyFont="1" applyBorder="1" applyAlignment="1">
      <alignment horizontal="left" vertical="center" wrapText="1"/>
    </xf>
    <xf numFmtId="0" fontId="10" fillId="0" borderId="24" xfId="0" applyFont="1" applyBorder="1" applyAlignment="1">
      <alignment vertical="center"/>
    </xf>
    <xf numFmtId="0" fontId="25" fillId="0" borderId="1" xfId="0" applyFont="1" applyBorder="1" applyAlignment="1">
      <alignment horizontal="left" vertical="center" wrapText="1"/>
    </xf>
    <xf numFmtId="0" fontId="10" fillId="0" borderId="0" xfId="0" applyFont="1" applyBorder="1" applyAlignment="1">
      <alignment horizontal="center" vertical="center"/>
    </xf>
    <xf numFmtId="0" fontId="10" fillId="0" borderId="27" xfId="0" applyFont="1" applyBorder="1" applyAlignment="1">
      <alignment vertical="center"/>
    </xf>
    <xf numFmtId="0" fontId="10" fillId="0" borderId="21" xfId="0" applyFont="1" applyBorder="1" applyAlignment="1">
      <alignment vertical="center"/>
    </xf>
    <xf numFmtId="0" fontId="10" fillId="0" borderId="2" xfId="0" applyFont="1" applyBorder="1" applyAlignment="1">
      <alignment vertical="center"/>
    </xf>
    <xf numFmtId="0" fontId="10" fillId="0" borderId="2" xfId="0" applyFont="1" applyBorder="1" applyAlignment="1">
      <alignment horizontal="center" vertical="center"/>
    </xf>
    <xf numFmtId="3" fontId="10" fillId="0" borderId="28" xfId="0" applyNumberFormat="1" applyFont="1" applyBorder="1" applyAlignment="1">
      <alignment horizontal="left" vertical="center"/>
    </xf>
    <xf numFmtId="0" fontId="10" fillId="0" borderId="18" xfId="0" applyFont="1" applyBorder="1" applyAlignment="1">
      <alignment vertical="center"/>
    </xf>
    <xf numFmtId="0" fontId="10" fillId="0" borderId="23" xfId="0" applyFont="1" applyBorder="1" applyAlignment="1">
      <alignment vertical="center"/>
    </xf>
    <xf numFmtId="0" fontId="25" fillId="0" borderId="2" xfId="0" applyFont="1" applyBorder="1" applyAlignment="1">
      <alignment horizontal="left" vertical="center" wrapText="1"/>
    </xf>
    <xf numFmtId="0" fontId="10" fillId="8" borderId="1" xfId="0" applyFont="1" applyFill="1" applyBorder="1" applyAlignment="1">
      <alignment horizontal="left" vertical="center"/>
    </xf>
    <xf numFmtId="3" fontId="10" fillId="0" borderId="1" xfId="0" applyNumberFormat="1" applyFont="1" applyBorder="1" applyAlignment="1">
      <alignment horizontal="left" vertical="center"/>
    </xf>
    <xf numFmtId="0" fontId="15" fillId="5" borderId="1" xfId="0" applyFont="1" applyFill="1" applyBorder="1" applyAlignment="1">
      <alignment horizontal="center" vertical="center"/>
    </xf>
    <xf numFmtId="167" fontId="10" fillId="5" borderId="1" xfId="0" applyNumberFormat="1" applyFont="1" applyFill="1" applyBorder="1" applyAlignment="1">
      <alignment vertical="center"/>
    </xf>
    <xf numFmtId="0" fontId="10" fillId="0" borderId="27" xfId="0" applyFont="1" applyBorder="1" applyAlignment="1">
      <alignment horizontal="left" vertical="center" wrapText="1"/>
    </xf>
    <xf numFmtId="0" fontId="10" fillId="8" borderId="27" xfId="0" applyFont="1" applyFill="1" applyBorder="1" applyAlignment="1">
      <alignment horizontal="left" vertical="center"/>
    </xf>
    <xf numFmtId="3" fontId="10" fillId="0" borderId="0" xfId="0" applyNumberFormat="1" applyFont="1" applyBorder="1" applyAlignment="1">
      <alignment horizontal="left" vertical="center"/>
    </xf>
    <xf numFmtId="0" fontId="10" fillId="0" borderId="2" xfId="0" applyFont="1" applyBorder="1" applyAlignment="1">
      <alignment vertical="center" wrapText="1"/>
    </xf>
    <xf numFmtId="0" fontId="20" fillId="0" borderId="0" xfId="0" applyFont="1" applyAlignment="1">
      <alignment horizontal="left" vertical="top" wrapText="1"/>
    </xf>
    <xf numFmtId="0" fontId="11" fillId="0" borderId="11" xfId="0" applyFont="1" applyBorder="1" applyAlignment="1">
      <alignment horizontal="center" vertical="center"/>
    </xf>
    <xf numFmtId="0" fontId="11" fillId="0" borderId="0" xfId="0" applyFont="1" applyAlignment="1">
      <alignment horizontal="center" vertical="center"/>
    </xf>
    <xf numFmtId="0" fontId="25" fillId="0" borderId="0" xfId="0" applyFont="1" applyAlignment="1">
      <alignment vertical="top"/>
    </xf>
    <xf numFmtId="0" fontId="25" fillId="0" borderId="1"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0" xfId="0" applyFont="1" applyAlignment="1">
      <alignment horizontal="center" vertical="center" wrapText="1"/>
    </xf>
    <xf numFmtId="0" fontId="25" fillId="0" borderId="21" xfId="0" applyFont="1" applyBorder="1" applyAlignment="1">
      <alignment horizontal="center" vertical="top" wrapText="1"/>
    </xf>
    <xf numFmtId="0" fontId="25" fillId="0" borderId="22" xfId="0" applyFont="1" applyBorder="1" applyAlignment="1">
      <alignment horizontal="center" vertical="top" wrapText="1"/>
    </xf>
    <xf numFmtId="0" fontId="11" fillId="0" borderId="7" xfId="0" applyFont="1" applyBorder="1" applyAlignment="1">
      <alignment horizontal="center" vertical="center"/>
    </xf>
    <xf numFmtId="0" fontId="10" fillId="0" borderId="4" xfId="0" applyFont="1" applyBorder="1" applyAlignment="1">
      <alignment horizontal="left" vertical="center" wrapText="1"/>
    </xf>
    <xf numFmtId="0" fontId="10" fillId="0" borderId="16" xfId="0" applyFont="1" applyBorder="1" applyAlignment="1">
      <alignment horizontal="left" vertical="center" wrapText="1"/>
    </xf>
    <xf numFmtId="0" fontId="10" fillId="0" borderId="29" xfId="0" applyFont="1" applyBorder="1" applyAlignment="1">
      <alignment horizontal="left" vertical="center" wrapText="1"/>
    </xf>
    <xf numFmtId="0" fontId="10" fillId="0" borderId="30" xfId="0" applyFont="1" applyBorder="1" applyAlignment="1">
      <alignment horizontal="left" vertical="center" wrapText="1"/>
    </xf>
    <xf numFmtId="0" fontId="10" fillId="0" borderId="14" xfId="0" applyFont="1" applyBorder="1" applyAlignment="1">
      <alignment vertical="center" wrapText="1"/>
    </xf>
    <xf numFmtId="0" fontId="10" fillId="0" borderId="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 xfId="0" applyFont="1" applyBorder="1" applyAlignment="1">
      <alignment horizontal="center" vertical="center" wrapText="1"/>
    </xf>
  </cellXfs>
  <cellStyles count="7">
    <cellStyle name="Comma [0] 2" xfId="3"/>
    <cellStyle name="Comma 2" xfId="4"/>
    <cellStyle name="Hyperlink" xfId="6" builtinId="8"/>
    <cellStyle name="Normal" xfId="0" builtinId="0"/>
    <cellStyle name="Normal 2" xfId="1"/>
    <cellStyle name="Normal 2 2" xfId="5"/>
    <cellStyle name="Normal 2 3" xfId="2"/>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304800</xdr:colOff>
      <xdr:row>8</xdr:row>
      <xdr:rowOff>28575</xdr:rowOff>
    </xdr:to>
    <xdr:pic>
      <xdr:nvPicPr>
        <xdr:cNvPr id="2" name="Picture 1">
          <a:extLst>
            <a:ext uri="{FF2B5EF4-FFF2-40B4-BE49-F238E27FC236}">
              <a16:creationId xmlns:a16="http://schemas.microsoft.com/office/drawing/2014/main" xmlns="" id="{8C973488-E03F-DDB3-03FE-857F8F30E556}"/>
            </a:ext>
          </a:extLst>
        </xdr:cNvPr>
        <xdr:cNvPicPr>
          <a:picLocks noChangeAspect="1"/>
        </xdr:cNvPicPr>
      </xdr:nvPicPr>
      <xdr:blipFill>
        <a:blip xmlns:r="http://schemas.openxmlformats.org/officeDocument/2006/relationships" r:embed="rId1"/>
        <a:stretch>
          <a:fillRect/>
        </a:stretch>
      </xdr:blipFill>
      <xdr:spPr>
        <a:xfrm>
          <a:off x="0" y="762000"/>
          <a:ext cx="4572000" cy="790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mailto:M@"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 Id="rId4"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 Id="rId4" Type="http://schemas.openxmlformats.org/officeDocument/2006/relationships/comments" Target="../comments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62"/>
  <sheetViews>
    <sheetView workbookViewId="0">
      <selection activeCell="D232" sqref="D232"/>
    </sheetView>
  </sheetViews>
  <sheetFormatPr defaultRowHeight="15" x14ac:dyDescent="0.25"/>
  <cols>
    <col min="1" max="1" width="4.42578125" bestFit="1" customWidth="1"/>
    <col min="2" max="2" width="6.140625" bestFit="1" customWidth="1"/>
    <col min="3" max="3" width="41.85546875" customWidth="1"/>
    <col min="4" max="4" width="18.5703125" bestFit="1" customWidth="1"/>
    <col min="5" max="5" width="15.42578125" customWidth="1"/>
    <col min="6" max="6" width="21.42578125" bestFit="1" customWidth="1"/>
    <col min="7" max="7" width="19.5703125" customWidth="1"/>
    <col min="8" max="8" width="7.28515625" bestFit="1" customWidth="1"/>
  </cols>
  <sheetData>
    <row r="1" spans="1:8" s="31" customFormat="1" ht="28.5" x14ac:dyDescent="0.2">
      <c r="A1" s="29" t="s">
        <v>0</v>
      </c>
      <c r="B1" s="29" t="s">
        <v>1</v>
      </c>
      <c r="C1" s="30" t="s">
        <v>2</v>
      </c>
      <c r="D1" s="30" t="s">
        <v>3</v>
      </c>
      <c r="E1" s="30" t="s">
        <v>4</v>
      </c>
      <c r="F1" s="30" t="s">
        <v>5</v>
      </c>
      <c r="G1" s="30" t="s">
        <v>6</v>
      </c>
      <c r="H1" s="29" t="s">
        <v>7</v>
      </c>
    </row>
    <row r="2" spans="1:8" s="34" customFormat="1" ht="199.5" hidden="1" x14ac:dyDescent="0.2">
      <c r="A2" s="32">
        <v>7</v>
      </c>
      <c r="B2" s="32" t="s">
        <v>8</v>
      </c>
      <c r="C2" s="33" t="s">
        <v>9</v>
      </c>
      <c r="D2" s="32" t="s">
        <v>10</v>
      </c>
      <c r="E2" s="33" t="s">
        <v>11</v>
      </c>
      <c r="F2" s="33" t="s">
        <v>12</v>
      </c>
      <c r="G2" s="33" t="s">
        <v>13</v>
      </c>
      <c r="H2" s="32" t="s">
        <v>14</v>
      </c>
    </row>
    <row r="3" spans="1:8" s="34" customFormat="1" ht="85.5" hidden="1" x14ac:dyDescent="0.2">
      <c r="A3" s="32">
        <v>8</v>
      </c>
      <c r="B3" s="32" t="s">
        <v>8</v>
      </c>
      <c r="C3" s="33" t="s">
        <v>9</v>
      </c>
      <c r="D3" s="32" t="s">
        <v>15</v>
      </c>
      <c r="E3" s="33" t="s">
        <v>16</v>
      </c>
      <c r="F3" s="33" t="s">
        <v>17</v>
      </c>
      <c r="G3" s="33" t="s">
        <v>18</v>
      </c>
      <c r="H3" s="32" t="s">
        <v>14</v>
      </c>
    </row>
    <row r="4" spans="1:8" s="34" customFormat="1" ht="57" hidden="1" x14ac:dyDescent="0.2">
      <c r="A4" s="32">
        <v>9</v>
      </c>
      <c r="B4" s="32" t="s">
        <v>8</v>
      </c>
      <c r="C4" s="33" t="s">
        <v>9</v>
      </c>
      <c r="D4" s="32" t="s">
        <v>19</v>
      </c>
      <c r="E4" s="33" t="s">
        <v>20</v>
      </c>
      <c r="F4" s="33" t="s">
        <v>21</v>
      </c>
      <c r="G4" s="33" t="s">
        <v>22</v>
      </c>
      <c r="H4" s="32" t="s">
        <v>14</v>
      </c>
    </row>
    <row r="5" spans="1:8" s="34" customFormat="1" ht="99.75" hidden="1" x14ac:dyDescent="0.2">
      <c r="A5" s="32">
        <v>10</v>
      </c>
      <c r="B5" s="32" t="s">
        <v>8</v>
      </c>
      <c r="C5" s="33" t="s">
        <v>9</v>
      </c>
      <c r="D5" s="32" t="s">
        <v>23</v>
      </c>
      <c r="E5" s="33" t="s">
        <v>24</v>
      </c>
      <c r="F5" s="33" t="s">
        <v>25</v>
      </c>
      <c r="G5" s="33" t="s">
        <v>26</v>
      </c>
      <c r="H5" s="32" t="s">
        <v>14</v>
      </c>
    </row>
    <row r="6" spans="1:8" s="34" customFormat="1" ht="71.25" hidden="1" x14ac:dyDescent="0.2">
      <c r="A6" s="32">
        <v>11</v>
      </c>
      <c r="B6" s="32" t="s">
        <v>8</v>
      </c>
      <c r="C6" s="33" t="s">
        <v>9</v>
      </c>
      <c r="D6" s="32" t="s">
        <v>27</v>
      </c>
      <c r="E6" s="33" t="s">
        <v>28</v>
      </c>
      <c r="F6" s="33" t="s">
        <v>29</v>
      </c>
      <c r="G6" s="33" t="s">
        <v>30</v>
      </c>
      <c r="H6" s="32" t="s">
        <v>14</v>
      </c>
    </row>
    <row r="7" spans="1:8" s="34" customFormat="1" ht="85.5" hidden="1" x14ac:dyDescent="0.2">
      <c r="A7" s="32">
        <v>12</v>
      </c>
      <c r="B7" s="32" t="s">
        <v>8</v>
      </c>
      <c r="C7" s="33" t="s">
        <v>9</v>
      </c>
      <c r="D7" s="32" t="s">
        <v>31</v>
      </c>
      <c r="E7" s="33" t="s">
        <v>32</v>
      </c>
      <c r="F7" s="33" t="s">
        <v>33</v>
      </c>
      <c r="G7" s="33" t="s">
        <v>18</v>
      </c>
      <c r="H7" s="32" t="s">
        <v>14</v>
      </c>
    </row>
    <row r="8" spans="1:8" s="34" customFormat="1" ht="71.25" hidden="1" x14ac:dyDescent="0.2">
      <c r="A8" s="32">
        <v>13</v>
      </c>
      <c r="B8" s="32" t="s">
        <v>8</v>
      </c>
      <c r="C8" s="33" t="s">
        <v>9</v>
      </c>
      <c r="D8" s="32" t="s">
        <v>34</v>
      </c>
      <c r="E8" s="33" t="s">
        <v>35</v>
      </c>
      <c r="F8" s="33" t="s">
        <v>36</v>
      </c>
      <c r="G8" s="33" t="s">
        <v>22</v>
      </c>
      <c r="H8" s="32" t="s">
        <v>14</v>
      </c>
    </row>
    <row r="9" spans="1:8" s="34" customFormat="1" ht="114" hidden="1" x14ac:dyDescent="0.2">
      <c r="A9" s="32">
        <v>14</v>
      </c>
      <c r="B9" s="32" t="s">
        <v>8</v>
      </c>
      <c r="C9" s="33" t="s">
        <v>37</v>
      </c>
      <c r="D9" s="32" t="s">
        <v>38</v>
      </c>
      <c r="E9" s="33" t="s">
        <v>39</v>
      </c>
      <c r="F9" s="33" t="s">
        <v>40</v>
      </c>
      <c r="G9" s="33" t="s">
        <v>41</v>
      </c>
      <c r="H9" s="32" t="s">
        <v>14</v>
      </c>
    </row>
    <row r="10" spans="1:8" s="34" customFormat="1" ht="85.5" hidden="1" x14ac:dyDescent="0.2">
      <c r="A10" s="32">
        <v>15</v>
      </c>
      <c r="B10" s="32" t="s">
        <v>8</v>
      </c>
      <c r="C10" s="33" t="s">
        <v>37</v>
      </c>
      <c r="D10" s="32" t="s">
        <v>42</v>
      </c>
      <c r="E10" s="33" t="s">
        <v>43</v>
      </c>
      <c r="F10" s="33" t="s">
        <v>44</v>
      </c>
      <c r="G10" s="33" t="s">
        <v>30</v>
      </c>
      <c r="H10" s="32" t="s">
        <v>14</v>
      </c>
    </row>
    <row r="11" spans="1:8" s="34" customFormat="1" ht="256.5" hidden="1" x14ac:dyDescent="0.2">
      <c r="A11" s="32">
        <v>21</v>
      </c>
      <c r="B11" s="32" t="s">
        <v>8</v>
      </c>
      <c r="C11" s="33" t="s">
        <v>9</v>
      </c>
      <c r="D11" s="32" t="s">
        <v>45</v>
      </c>
      <c r="E11" s="33" t="s">
        <v>46</v>
      </c>
      <c r="F11" s="33" t="s">
        <v>47</v>
      </c>
      <c r="G11" s="33" t="s">
        <v>48</v>
      </c>
      <c r="H11" s="32" t="s">
        <v>14</v>
      </c>
    </row>
    <row r="12" spans="1:8" s="34" customFormat="1" ht="85.5" hidden="1" x14ac:dyDescent="0.2">
      <c r="A12" s="32">
        <v>23</v>
      </c>
      <c r="B12" s="32" t="s">
        <v>8</v>
      </c>
      <c r="C12" s="33" t="s">
        <v>9</v>
      </c>
      <c r="D12" s="32" t="s">
        <v>49</v>
      </c>
      <c r="E12" s="33" t="s">
        <v>50</v>
      </c>
      <c r="F12" s="33" t="s">
        <v>51</v>
      </c>
      <c r="G12" s="33" t="s">
        <v>52</v>
      </c>
      <c r="H12" s="32" t="s">
        <v>14</v>
      </c>
    </row>
    <row r="13" spans="1:8" s="34" customFormat="1" ht="156.75" hidden="1" x14ac:dyDescent="0.2">
      <c r="A13" s="32">
        <v>24</v>
      </c>
      <c r="B13" s="32" t="s">
        <v>8</v>
      </c>
      <c r="C13" s="33" t="s">
        <v>53</v>
      </c>
      <c r="D13" s="32" t="s">
        <v>54</v>
      </c>
      <c r="E13" s="33" t="s">
        <v>55</v>
      </c>
      <c r="F13" s="33" t="s">
        <v>56</v>
      </c>
      <c r="G13" s="33" t="s">
        <v>57</v>
      </c>
      <c r="H13" s="32" t="s">
        <v>14</v>
      </c>
    </row>
    <row r="14" spans="1:8" s="34" customFormat="1" ht="114" hidden="1" x14ac:dyDescent="0.2">
      <c r="A14" s="32">
        <v>25</v>
      </c>
      <c r="B14" s="32" t="s">
        <v>8</v>
      </c>
      <c r="C14" s="33" t="s">
        <v>53</v>
      </c>
      <c r="D14" s="32" t="s">
        <v>58</v>
      </c>
      <c r="E14" s="33" t="s">
        <v>59</v>
      </c>
      <c r="F14" s="33" t="s">
        <v>60</v>
      </c>
      <c r="G14" s="33" t="s">
        <v>61</v>
      </c>
      <c r="H14" s="32" t="s">
        <v>14</v>
      </c>
    </row>
    <row r="15" spans="1:8" s="34" customFormat="1" ht="85.5" hidden="1" x14ac:dyDescent="0.2">
      <c r="A15" s="32">
        <v>36</v>
      </c>
      <c r="B15" s="35" t="s">
        <v>8</v>
      </c>
      <c r="C15" s="18" t="s">
        <v>62</v>
      </c>
      <c r="D15" s="35" t="s">
        <v>63</v>
      </c>
      <c r="E15" s="18" t="s">
        <v>64</v>
      </c>
      <c r="F15" s="18" t="s">
        <v>65</v>
      </c>
      <c r="G15" s="18" t="s">
        <v>66</v>
      </c>
      <c r="H15" s="35" t="s">
        <v>14</v>
      </c>
    </row>
    <row r="16" spans="1:8" s="34" customFormat="1" ht="99.75" hidden="1" x14ac:dyDescent="0.2">
      <c r="A16" s="32">
        <v>37</v>
      </c>
      <c r="B16" s="35" t="s">
        <v>8</v>
      </c>
      <c r="C16" s="18" t="s">
        <v>62</v>
      </c>
      <c r="D16" s="35" t="s">
        <v>67</v>
      </c>
      <c r="E16" s="18" t="s">
        <v>68</v>
      </c>
      <c r="F16" s="18" t="s">
        <v>69</v>
      </c>
      <c r="G16" s="18" t="s">
        <v>70</v>
      </c>
      <c r="H16" s="35" t="s">
        <v>14</v>
      </c>
    </row>
    <row r="17" spans="1:8" s="34" customFormat="1" ht="185.25" hidden="1" x14ac:dyDescent="0.2">
      <c r="A17" s="32">
        <v>38</v>
      </c>
      <c r="B17" s="32" t="s">
        <v>8</v>
      </c>
      <c r="C17" s="33" t="s">
        <v>71</v>
      </c>
      <c r="D17" s="32" t="s">
        <v>72</v>
      </c>
      <c r="E17" s="33" t="s">
        <v>73</v>
      </c>
      <c r="F17" s="33" t="s">
        <v>74</v>
      </c>
      <c r="G17" s="33" t="s">
        <v>75</v>
      </c>
      <c r="H17" s="32" t="s">
        <v>14</v>
      </c>
    </row>
    <row r="18" spans="1:8" s="34" customFormat="1" ht="128.25" hidden="1" x14ac:dyDescent="0.2">
      <c r="A18" s="32">
        <v>39</v>
      </c>
      <c r="B18" s="32" t="s">
        <v>8</v>
      </c>
      <c r="C18" s="33" t="s">
        <v>71</v>
      </c>
      <c r="D18" s="32" t="s">
        <v>76</v>
      </c>
      <c r="E18" s="33" t="s">
        <v>77</v>
      </c>
      <c r="F18" s="33" t="s">
        <v>78</v>
      </c>
      <c r="G18" s="33" t="s">
        <v>79</v>
      </c>
      <c r="H18" s="32" t="s">
        <v>14</v>
      </c>
    </row>
    <row r="19" spans="1:8" s="34" customFormat="1" ht="114" hidden="1" x14ac:dyDescent="0.2">
      <c r="A19" s="32">
        <v>40</v>
      </c>
      <c r="B19" s="35" t="s">
        <v>8</v>
      </c>
      <c r="C19" s="18" t="s">
        <v>71</v>
      </c>
      <c r="D19" s="35" t="s">
        <v>80</v>
      </c>
      <c r="E19" s="18" t="s">
        <v>81</v>
      </c>
      <c r="F19" s="18" t="s">
        <v>82</v>
      </c>
      <c r="G19" s="18" t="s">
        <v>83</v>
      </c>
      <c r="H19" s="32" t="s">
        <v>14</v>
      </c>
    </row>
    <row r="20" spans="1:8" s="34" customFormat="1" ht="71.25" hidden="1" x14ac:dyDescent="0.2">
      <c r="A20" s="32">
        <v>41</v>
      </c>
      <c r="B20" s="32" t="s">
        <v>8</v>
      </c>
      <c r="C20" s="33" t="s">
        <v>84</v>
      </c>
      <c r="D20" s="32" t="s">
        <v>85</v>
      </c>
      <c r="E20" s="33" t="s">
        <v>86</v>
      </c>
      <c r="F20" s="33" t="s">
        <v>87</v>
      </c>
      <c r="G20" s="33" t="s">
        <v>88</v>
      </c>
      <c r="H20" s="32" t="s">
        <v>14</v>
      </c>
    </row>
    <row r="21" spans="1:8" s="34" customFormat="1" ht="57" hidden="1" x14ac:dyDescent="0.2">
      <c r="A21" s="32">
        <v>42</v>
      </c>
      <c r="B21" s="32" t="s">
        <v>8</v>
      </c>
      <c r="C21" s="33" t="s">
        <v>84</v>
      </c>
      <c r="D21" s="32" t="s">
        <v>89</v>
      </c>
      <c r="E21" s="33" t="s">
        <v>90</v>
      </c>
      <c r="F21" s="33" t="s">
        <v>91</v>
      </c>
      <c r="G21" s="33" t="s">
        <v>92</v>
      </c>
      <c r="H21" s="32" t="s">
        <v>14</v>
      </c>
    </row>
    <row r="22" spans="1:8" s="34" customFormat="1" ht="99.75" hidden="1" x14ac:dyDescent="0.2">
      <c r="A22" s="32">
        <v>43</v>
      </c>
      <c r="B22" s="32" t="s">
        <v>8</v>
      </c>
      <c r="C22" s="33" t="s">
        <v>84</v>
      </c>
      <c r="D22" s="32" t="s">
        <v>93</v>
      </c>
      <c r="E22" s="33" t="s">
        <v>94</v>
      </c>
      <c r="F22" s="33" t="s">
        <v>95</v>
      </c>
      <c r="G22" s="33" t="s">
        <v>96</v>
      </c>
      <c r="H22" s="32" t="s">
        <v>14</v>
      </c>
    </row>
    <row r="23" spans="1:8" s="34" customFormat="1" ht="71.25" hidden="1" x14ac:dyDescent="0.2">
      <c r="A23" s="32">
        <v>44</v>
      </c>
      <c r="B23" s="32" t="s">
        <v>8</v>
      </c>
      <c r="C23" s="33" t="s">
        <v>84</v>
      </c>
      <c r="D23" s="32" t="s">
        <v>97</v>
      </c>
      <c r="E23" s="33" t="s">
        <v>98</v>
      </c>
      <c r="F23" s="33" t="s">
        <v>99</v>
      </c>
      <c r="G23" s="33" t="s">
        <v>100</v>
      </c>
      <c r="H23" s="32" t="s">
        <v>14</v>
      </c>
    </row>
    <row r="24" spans="1:8" s="34" customFormat="1" ht="57" hidden="1" x14ac:dyDescent="0.2">
      <c r="A24" s="32">
        <v>45</v>
      </c>
      <c r="B24" s="32" t="s">
        <v>8</v>
      </c>
      <c r="C24" s="33" t="s">
        <v>84</v>
      </c>
      <c r="D24" s="32" t="s">
        <v>101</v>
      </c>
      <c r="E24" s="36" t="s">
        <v>102</v>
      </c>
      <c r="F24" s="33" t="s">
        <v>103</v>
      </c>
      <c r="G24" s="33" t="s">
        <v>104</v>
      </c>
      <c r="H24" s="32" t="s">
        <v>14</v>
      </c>
    </row>
    <row r="25" spans="1:8" s="34" customFormat="1" ht="71.25" hidden="1" x14ac:dyDescent="0.2">
      <c r="A25" s="32">
        <v>46</v>
      </c>
      <c r="B25" s="32" t="s">
        <v>8</v>
      </c>
      <c r="C25" s="33" t="s">
        <v>84</v>
      </c>
      <c r="D25" s="32" t="s">
        <v>105</v>
      </c>
      <c r="E25" s="33" t="s">
        <v>106</v>
      </c>
      <c r="F25" s="33" t="s">
        <v>107</v>
      </c>
      <c r="G25" s="33" t="s">
        <v>108</v>
      </c>
      <c r="H25" s="32" t="s">
        <v>14</v>
      </c>
    </row>
    <row r="26" spans="1:8" s="34" customFormat="1" ht="42.75" hidden="1" x14ac:dyDescent="0.2">
      <c r="A26" s="32">
        <v>47</v>
      </c>
      <c r="B26" s="32" t="s">
        <v>8</v>
      </c>
      <c r="C26" s="33" t="s">
        <v>84</v>
      </c>
      <c r="D26" s="32" t="s">
        <v>109</v>
      </c>
      <c r="E26" s="33" t="s">
        <v>110</v>
      </c>
      <c r="F26" s="33" t="s">
        <v>111</v>
      </c>
      <c r="G26" s="33" t="s">
        <v>112</v>
      </c>
      <c r="H26" s="32" t="s">
        <v>14</v>
      </c>
    </row>
    <row r="27" spans="1:8" s="34" customFormat="1" ht="57" hidden="1" x14ac:dyDescent="0.2">
      <c r="A27" s="32">
        <v>48</v>
      </c>
      <c r="B27" s="32" t="s">
        <v>8</v>
      </c>
      <c r="C27" s="33" t="s">
        <v>84</v>
      </c>
      <c r="D27" s="32" t="s">
        <v>113</v>
      </c>
      <c r="E27" s="33" t="s">
        <v>114</v>
      </c>
      <c r="F27" s="33" t="s">
        <v>115</v>
      </c>
      <c r="G27" s="33" t="s">
        <v>116</v>
      </c>
      <c r="H27" s="32" t="s">
        <v>14</v>
      </c>
    </row>
    <row r="28" spans="1:8" s="34" customFormat="1" ht="313.5" hidden="1" x14ac:dyDescent="0.2">
      <c r="A28" s="32">
        <v>52</v>
      </c>
      <c r="B28" s="32" t="s">
        <v>8</v>
      </c>
      <c r="C28" s="33" t="s">
        <v>117</v>
      </c>
      <c r="D28" s="32" t="s">
        <v>118</v>
      </c>
      <c r="E28" s="33" t="s">
        <v>119</v>
      </c>
      <c r="F28" s="33" t="s">
        <v>120</v>
      </c>
      <c r="G28" s="33" t="s">
        <v>121</v>
      </c>
      <c r="H28" s="32" t="s">
        <v>14</v>
      </c>
    </row>
    <row r="29" spans="1:8" s="34" customFormat="1" ht="185.25" hidden="1" x14ac:dyDescent="0.2">
      <c r="A29" s="32">
        <v>53</v>
      </c>
      <c r="B29" s="32" t="s">
        <v>8</v>
      </c>
      <c r="C29" s="33" t="s">
        <v>117</v>
      </c>
      <c r="D29" s="32" t="s">
        <v>122</v>
      </c>
      <c r="E29" s="33" t="s">
        <v>123</v>
      </c>
      <c r="F29" s="33" t="s">
        <v>124</v>
      </c>
      <c r="G29" s="33" t="s">
        <v>125</v>
      </c>
      <c r="H29" s="32" t="s">
        <v>14</v>
      </c>
    </row>
    <row r="30" spans="1:8" s="34" customFormat="1" ht="156.75" hidden="1" x14ac:dyDescent="0.2">
      <c r="A30" s="32">
        <v>55</v>
      </c>
      <c r="B30" s="32" t="s">
        <v>8</v>
      </c>
      <c r="C30" s="33" t="s">
        <v>126</v>
      </c>
      <c r="D30" s="32" t="s">
        <v>127</v>
      </c>
      <c r="E30" s="33" t="s">
        <v>128</v>
      </c>
      <c r="F30" s="33" t="s">
        <v>129</v>
      </c>
      <c r="G30" s="33" t="s">
        <v>130</v>
      </c>
      <c r="H30" s="32" t="s">
        <v>14</v>
      </c>
    </row>
    <row r="31" spans="1:8" s="34" customFormat="1" ht="171" hidden="1" x14ac:dyDescent="0.2">
      <c r="A31" s="32">
        <v>56</v>
      </c>
      <c r="B31" s="32" t="s">
        <v>8</v>
      </c>
      <c r="C31" s="33" t="s">
        <v>126</v>
      </c>
      <c r="D31" s="32" t="s">
        <v>131</v>
      </c>
      <c r="E31" s="33" t="s">
        <v>132</v>
      </c>
      <c r="F31" s="33" t="s">
        <v>133</v>
      </c>
      <c r="G31" s="33" t="s">
        <v>134</v>
      </c>
      <c r="H31" s="32" t="s">
        <v>14</v>
      </c>
    </row>
    <row r="32" spans="1:8" s="34" customFormat="1" ht="99.75" hidden="1" x14ac:dyDescent="0.2">
      <c r="A32" s="32">
        <v>57</v>
      </c>
      <c r="B32" s="32" t="s">
        <v>8</v>
      </c>
      <c r="C32" s="33" t="s">
        <v>135</v>
      </c>
      <c r="D32" s="32" t="s">
        <v>136</v>
      </c>
      <c r="E32" s="33" t="s">
        <v>137</v>
      </c>
      <c r="F32" s="33" t="s">
        <v>138</v>
      </c>
      <c r="G32" s="36" t="s">
        <v>139</v>
      </c>
      <c r="H32" s="32" t="s">
        <v>14</v>
      </c>
    </row>
    <row r="33" spans="1:8" s="34" customFormat="1" ht="85.5" hidden="1" x14ac:dyDescent="0.2">
      <c r="A33" s="32">
        <v>58</v>
      </c>
      <c r="B33" s="32" t="s">
        <v>8</v>
      </c>
      <c r="C33" s="33" t="s">
        <v>135</v>
      </c>
      <c r="D33" s="32" t="s">
        <v>140</v>
      </c>
      <c r="E33" s="33" t="s">
        <v>141</v>
      </c>
      <c r="F33" s="33" t="s">
        <v>142</v>
      </c>
      <c r="G33" s="33" t="s">
        <v>143</v>
      </c>
      <c r="H33" s="32" t="s">
        <v>14</v>
      </c>
    </row>
    <row r="34" spans="1:8" s="34" customFormat="1" ht="85.5" hidden="1" x14ac:dyDescent="0.2">
      <c r="A34" s="32">
        <v>59</v>
      </c>
      <c r="B34" s="32" t="s">
        <v>8</v>
      </c>
      <c r="C34" s="33" t="s">
        <v>135</v>
      </c>
      <c r="D34" s="32" t="s">
        <v>144</v>
      </c>
      <c r="E34" s="33" t="s">
        <v>145</v>
      </c>
      <c r="F34" s="33" t="s">
        <v>146</v>
      </c>
      <c r="G34" s="33" t="s">
        <v>147</v>
      </c>
      <c r="H34" s="32" t="s">
        <v>14</v>
      </c>
    </row>
    <row r="35" spans="1:8" s="34" customFormat="1" ht="99.75" hidden="1" x14ac:dyDescent="0.2">
      <c r="A35" s="32">
        <v>60</v>
      </c>
      <c r="B35" s="32" t="s">
        <v>8</v>
      </c>
      <c r="C35" s="33" t="s">
        <v>135</v>
      </c>
      <c r="D35" s="37" t="s">
        <v>148</v>
      </c>
      <c r="E35" s="33" t="s">
        <v>149</v>
      </c>
      <c r="F35" s="33" t="s">
        <v>150</v>
      </c>
      <c r="G35" s="38" t="s">
        <v>151</v>
      </c>
      <c r="H35" s="32" t="s">
        <v>14</v>
      </c>
    </row>
    <row r="36" spans="1:8" s="34" customFormat="1" ht="85.5" hidden="1" x14ac:dyDescent="0.2">
      <c r="A36" s="32">
        <v>61</v>
      </c>
      <c r="B36" s="32" t="s">
        <v>8</v>
      </c>
      <c r="C36" s="33" t="s">
        <v>135</v>
      </c>
      <c r="D36" s="37" t="s">
        <v>152</v>
      </c>
      <c r="E36" s="33" t="s">
        <v>153</v>
      </c>
      <c r="F36" s="33" t="s">
        <v>154</v>
      </c>
      <c r="G36" s="38" t="s">
        <v>155</v>
      </c>
      <c r="H36" s="37" t="s">
        <v>14</v>
      </c>
    </row>
    <row r="37" spans="1:8" s="34" customFormat="1" ht="99.75" hidden="1" x14ac:dyDescent="0.2">
      <c r="A37" s="32">
        <v>62</v>
      </c>
      <c r="B37" s="32" t="s">
        <v>8</v>
      </c>
      <c r="C37" s="33" t="s">
        <v>135</v>
      </c>
      <c r="D37" s="32" t="s">
        <v>156</v>
      </c>
      <c r="E37" s="33" t="s">
        <v>157</v>
      </c>
      <c r="F37" s="33" t="s">
        <v>158</v>
      </c>
      <c r="G37" s="33" t="s">
        <v>159</v>
      </c>
      <c r="H37" s="32" t="s">
        <v>14</v>
      </c>
    </row>
    <row r="38" spans="1:8" s="34" customFormat="1" ht="99.75" hidden="1" x14ac:dyDescent="0.2">
      <c r="A38" s="32">
        <v>63</v>
      </c>
      <c r="B38" s="32" t="s">
        <v>8</v>
      </c>
      <c r="C38" s="33" t="s">
        <v>135</v>
      </c>
      <c r="D38" s="32" t="s">
        <v>160</v>
      </c>
      <c r="E38" s="33" t="s">
        <v>161</v>
      </c>
      <c r="F38" s="33" t="s">
        <v>162</v>
      </c>
      <c r="G38" s="33" t="s">
        <v>163</v>
      </c>
      <c r="H38" s="32" t="s">
        <v>14</v>
      </c>
    </row>
    <row r="39" spans="1:8" s="34" customFormat="1" ht="85.5" hidden="1" x14ac:dyDescent="0.2">
      <c r="A39" s="32">
        <v>64</v>
      </c>
      <c r="B39" s="32" t="s">
        <v>8</v>
      </c>
      <c r="C39" s="33" t="s">
        <v>135</v>
      </c>
      <c r="D39" s="32" t="s">
        <v>164</v>
      </c>
      <c r="E39" s="33" t="s">
        <v>165</v>
      </c>
      <c r="F39" s="33" t="s">
        <v>166</v>
      </c>
      <c r="G39" s="33" t="s">
        <v>167</v>
      </c>
      <c r="H39" s="32" t="s">
        <v>14</v>
      </c>
    </row>
    <row r="40" spans="1:8" s="34" customFormat="1" ht="85.5" hidden="1" x14ac:dyDescent="0.2">
      <c r="A40" s="32">
        <v>65</v>
      </c>
      <c r="B40" s="32" t="s">
        <v>8</v>
      </c>
      <c r="C40" s="33" t="s">
        <v>135</v>
      </c>
      <c r="D40" s="32" t="s">
        <v>168</v>
      </c>
      <c r="E40" s="33" t="s">
        <v>169</v>
      </c>
      <c r="F40" s="33" t="s">
        <v>170</v>
      </c>
      <c r="G40" s="33" t="s">
        <v>171</v>
      </c>
      <c r="H40" s="32" t="s">
        <v>14</v>
      </c>
    </row>
    <row r="41" spans="1:8" s="34" customFormat="1" ht="99.75" hidden="1" x14ac:dyDescent="0.2">
      <c r="A41" s="32">
        <v>66</v>
      </c>
      <c r="B41" s="32" t="s">
        <v>8</v>
      </c>
      <c r="C41" s="33" t="s">
        <v>135</v>
      </c>
      <c r="D41" s="32" t="s">
        <v>172</v>
      </c>
      <c r="E41" s="33" t="s">
        <v>173</v>
      </c>
      <c r="F41" s="33" t="s">
        <v>174</v>
      </c>
      <c r="G41" s="33" t="s">
        <v>175</v>
      </c>
      <c r="H41" s="32" t="s">
        <v>14</v>
      </c>
    </row>
    <row r="42" spans="1:8" s="34" customFormat="1" ht="128.25" hidden="1" x14ac:dyDescent="0.2">
      <c r="A42" s="32">
        <v>67</v>
      </c>
      <c r="B42" s="32" t="s">
        <v>8</v>
      </c>
      <c r="C42" s="33" t="s">
        <v>135</v>
      </c>
      <c r="D42" s="32" t="s">
        <v>176</v>
      </c>
      <c r="E42" s="33" t="s">
        <v>177</v>
      </c>
      <c r="F42" s="33" t="s">
        <v>178</v>
      </c>
      <c r="G42" s="38" t="s">
        <v>179</v>
      </c>
      <c r="H42" s="32" t="s">
        <v>14</v>
      </c>
    </row>
    <row r="43" spans="1:8" s="34" customFormat="1" ht="128.25" hidden="1" x14ac:dyDescent="0.2">
      <c r="A43" s="32">
        <v>68</v>
      </c>
      <c r="B43" s="32" t="s">
        <v>8</v>
      </c>
      <c r="C43" s="33" t="s">
        <v>135</v>
      </c>
      <c r="D43" s="32" t="s">
        <v>180</v>
      </c>
      <c r="E43" s="33" t="s">
        <v>181</v>
      </c>
      <c r="F43" s="33" t="s">
        <v>182</v>
      </c>
      <c r="G43" s="38" t="s">
        <v>179</v>
      </c>
      <c r="H43" s="32" t="s">
        <v>14</v>
      </c>
    </row>
    <row r="44" spans="1:8" s="34" customFormat="1" ht="128.25" hidden="1" x14ac:dyDescent="0.2">
      <c r="A44" s="32">
        <v>69</v>
      </c>
      <c r="B44" s="32" t="s">
        <v>8</v>
      </c>
      <c r="C44" s="33" t="s">
        <v>135</v>
      </c>
      <c r="D44" s="32" t="s">
        <v>183</v>
      </c>
      <c r="E44" s="33" t="s">
        <v>184</v>
      </c>
      <c r="F44" s="33" t="s">
        <v>185</v>
      </c>
      <c r="G44" s="38" t="s">
        <v>179</v>
      </c>
      <c r="H44" s="32" t="s">
        <v>14</v>
      </c>
    </row>
    <row r="45" spans="1:8" s="34" customFormat="1" ht="142.5" hidden="1" x14ac:dyDescent="0.2">
      <c r="A45" s="32">
        <v>70</v>
      </c>
      <c r="B45" s="32" t="s">
        <v>8</v>
      </c>
      <c r="C45" s="33" t="s">
        <v>135</v>
      </c>
      <c r="D45" s="32" t="s">
        <v>186</v>
      </c>
      <c r="E45" s="33" t="s">
        <v>187</v>
      </c>
      <c r="F45" s="33" t="s">
        <v>188</v>
      </c>
      <c r="G45" s="38" t="s">
        <v>189</v>
      </c>
      <c r="H45" s="32" t="s">
        <v>14</v>
      </c>
    </row>
    <row r="46" spans="1:8" s="34" customFormat="1" ht="142.5" hidden="1" x14ac:dyDescent="0.2">
      <c r="A46" s="32">
        <v>71</v>
      </c>
      <c r="B46" s="32" t="s">
        <v>8</v>
      </c>
      <c r="C46" s="33" t="s">
        <v>135</v>
      </c>
      <c r="D46" s="32" t="s">
        <v>190</v>
      </c>
      <c r="E46" s="33" t="s">
        <v>191</v>
      </c>
      <c r="F46" s="33" t="s">
        <v>192</v>
      </c>
      <c r="G46" s="38" t="s">
        <v>193</v>
      </c>
      <c r="H46" s="32" t="s">
        <v>14</v>
      </c>
    </row>
    <row r="47" spans="1:8" s="34" customFormat="1" ht="185.25" hidden="1" x14ac:dyDescent="0.2">
      <c r="A47" s="32">
        <v>72</v>
      </c>
      <c r="B47" s="32" t="s">
        <v>8</v>
      </c>
      <c r="C47" s="33" t="s">
        <v>135</v>
      </c>
      <c r="D47" s="32" t="s">
        <v>194</v>
      </c>
      <c r="E47" s="33" t="s">
        <v>195</v>
      </c>
      <c r="F47" s="33" t="s">
        <v>196</v>
      </c>
      <c r="G47" s="33" t="s">
        <v>197</v>
      </c>
      <c r="H47" s="32" t="s">
        <v>14</v>
      </c>
    </row>
    <row r="48" spans="1:8" s="34" customFormat="1" ht="99.75" hidden="1" x14ac:dyDescent="0.2">
      <c r="A48" s="32">
        <v>73</v>
      </c>
      <c r="B48" s="32" t="s">
        <v>8</v>
      </c>
      <c r="C48" s="33" t="s">
        <v>198</v>
      </c>
      <c r="D48" s="32" t="s">
        <v>199</v>
      </c>
      <c r="E48" s="33" t="s">
        <v>200</v>
      </c>
      <c r="F48" s="33" t="s">
        <v>201</v>
      </c>
      <c r="G48" s="33" t="s">
        <v>202</v>
      </c>
      <c r="H48" s="32" t="s">
        <v>14</v>
      </c>
    </row>
    <row r="49" spans="1:8" s="34" customFormat="1" ht="128.25" hidden="1" x14ac:dyDescent="0.2">
      <c r="A49" s="32">
        <v>74</v>
      </c>
      <c r="B49" s="32" t="s">
        <v>8</v>
      </c>
      <c r="C49" s="33" t="s">
        <v>198</v>
      </c>
      <c r="D49" s="32" t="s">
        <v>203</v>
      </c>
      <c r="E49" s="33" t="s">
        <v>204</v>
      </c>
      <c r="F49" s="33" t="s">
        <v>205</v>
      </c>
      <c r="G49" s="33" t="s">
        <v>206</v>
      </c>
      <c r="H49" s="32" t="s">
        <v>14</v>
      </c>
    </row>
    <row r="50" spans="1:8" s="34" customFormat="1" ht="42.75" hidden="1" x14ac:dyDescent="0.2">
      <c r="A50" s="32">
        <v>75</v>
      </c>
      <c r="B50" s="32" t="s">
        <v>8</v>
      </c>
      <c r="C50" s="33" t="s">
        <v>198</v>
      </c>
      <c r="D50" s="32" t="s">
        <v>207</v>
      </c>
      <c r="E50" s="39" t="s">
        <v>208</v>
      </c>
      <c r="F50" s="33" t="s">
        <v>209</v>
      </c>
      <c r="G50" s="33" t="s">
        <v>112</v>
      </c>
      <c r="H50" s="32" t="s">
        <v>14</v>
      </c>
    </row>
    <row r="51" spans="1:8" s="34" customFormat="1" ht="114" hidden="1" x14ac:dyDescent="0.2">
      <c r="A51" s="32">
        <v>76</v>
      </c>
      <c r="B51" s="32" t="s">
        <v>8</v>
      </c>
      <c r="C51" s="33" t="s">
        <v>198</v>
      </c>
      <c r="D51" s="32" t="s">
        <v>210</v>
      </c>
      <c r="E51" s="33" t="s">
        <v>211</v>
      </c>
      <c r="F51" s="33" t="s">
        <v>212</v>
      </c>
      <c r="G51" s="36" t="s">
        <v>213</v>
      </c>
      <c r="H51" s="32" t="s">
        <v>14</v>
      </c>
    </row>
    <row r="52" spans="1:8" s="34" customFormat="1" ht="57" hidden="1" x14ac:dyDescent="0.2">
      <c r="A52" s="32">
        <v>79</v>
      </c>
      <c r="B52" s="32" t="s">
        <v>8</v>
      </c>
      <c r="C52" s="33" t="s">
        <v>214</v>
      </c>
      <c r="D52" s="32" t="s">
        <v>215</v>
      </c>
      <c r="E52" s="33" t="s">
        <v>216</v>
      </c>
      <c r="F52" s="33" t="s">
        <v>217</v>
      </c>
      <c r="G52" s="36" t="s">
        <v>218</v>
      </c>
      <c r="H52" s="32" t="s">
        <v>14</v>
      </c>
    </row>
    <row r="53" spans="1:8" s="34" customFormat="1" ht="57" hidden="1" x14ac:dyDescent="0.2">
      <c r="A53" s="32">
        <v>82</v>
      </c>
      <c r="B53" s="32" t="s">
        <v>8</v>
      </c>
      <c r="C53" s="33" t="s">
        <v>214</v>
      </c>
      <c r="D53" s="32" t="s">
        <v>219</v>
      </c>
      <c r="E53" s="33" t="s">
        <v>220</v>
      </c>
      <c r="F53" s="33" t="s">
        <v>221</v>
      </c>
      <c r="G53" s="33" t="s">
        <v>222</v>
      </c>
      <c r="H53" s="32" t="s">
        <v>14</v>
      </c>
    </row>
    <row r="54" spans="1:8" s="34" customFormat="1" ht="85.5" hidden="1" x14ac:dyDescent="0.2">
      <c r="A54" s="32">
        <v>83</v>
      </c>
      <c r="B54" s="32" t="s">
        <v>8</v>
      </c>
      <c r="C54" s="33" t="s">
        <v>223</v>
      </c>
      <c r="D54" s="32" t="s">
        <v>224</v>
      </c>
      <c r="E54" s="33" t="s">
        <v>225</v>
      </c>
      <c r="F54" s="33" t="s">
        <v>226</v>
      </c>
      <c r="G54" s="33" t="s">
        <v>227</v>
      </c>
      <c r="H54" s="32" t="s">
        <v>14</v>
      </c>
    </row>
    <row r="55" spans="1:8" s="34" customFormat="1" ht="99.75" hidden="1" x14ac:dyDescent="0.2">
      <c r="A55" s="32">
        <v>84</v>
      </c>
      <c r="B55" s="32" t="s">
        <v>8</v>
      </c>
      <c r="C55" s="33" t="s">
        <v>223</v>
      </c>
      <c r="D55" s="32" t="s">
        <v>228</v>
      </c>
      <c r="E55" s="33" t="s">
        <v>229</v>
      </c>
      <c r="F55" s="33" t="s">
        <v>230</v>
      </c>
      <c r="G55" s="33" t="s">
        <v>231</v>
      </c>
      <c r="H55" s="32" t="s">
        <v>14</v>
      </c>
    </row>
    <row r="56" spans="1:8" s="34" customFormat="1" ht="42.75" hidden="1" x14ac:dyDescent="0.2">
      <c r="A56" s="32">
        <v>85</v>
      </c>
      <c r="B56" s="32" t="s">
        <v>8</v>
      </c>
      <c r="C56" s="33" t="s">
        <v>223</v>
      </c>
      <c r="D56" s="32" t="s">
        <v>232</v>
      </c>
      <c r="E56" s="33" t="s">
        <v>233</v>
      </c>
      <c r="F56" s="33" t="s">
        <v>234</v>
      </c>
      <c r="G56" s="33" t="s">
        <v>112</v>
      </c>
      <c r="H56" s="32" t="s">
        <v>14</v>
      </c>
    </row>
    <row r="57" spans="1:8" s="34" customFormat="1" ht="42.75" hidden="1" x14ac:dyDescent="0.2">
      <c r="A57" s="32">
        <v>86</v>
      </c>
      <c r="B57" s="32" t="s">
        <v>8</v>
      </c>
      <c r="C57" s="33" t="s">
        <v>223</v>
      </c>
      <c r="D57" s="32" t="s">
        <v>235</v>
      </c>
      <c r="E57" s="36" t="s">
        <v>236</v>
      </c>
      <c r="F57" s="33" t="s">
        <v>237</v>
      </c>
      <c r="G57" s="36" t="s">
        <v>112</v>
      </c>
      <c r="H57" s="32" t="s">
        <v>14</v>
      </c>
    </row>
    <row r="58" spans="1:8" s="34" customFormat="1" ht="42.75" hidden="1" x14ac:dyDescent="0.2">
      <c r="A58" s="32">
        <v>87</v>
      </c>
      <c r="B58" s="32" t="s">
        <v>8</v>
      </c>
      <c r="C58" s="33" t="s">
        <v>223</v>
      </c>
      <c r="D58" s="32" t="s">
        <v>238</v>
      </c>
      <c r="E58" s="33" t="s">
        <v>239</v>
      </c>
      <c r="F58" s="33" t="s">
        <v>240</v>
      </c>
      <c r="G58" s="36" t="s">
        <v>112</v>
      </c>
      <c r="H58" s="32" t="s">
        <v>14</v>
      </c>
    </row>
    <row r="59" spans="1:8" s="34" customFormat="1" ht="28.5" hidden="1" x14ac:dyDescent="0.2">
      <c r="A59" s="32">
        <v>88</v>
      </c>
      <c r="B59" s="32" t="s">
        <v>8</v>
      </c>
      <c r="C59" s="33" t="s">
        <v>223</v>
      </c>
      <c r="D59" s="32" t="s">
        <v>241</v>
      </c>
      <c r="E59" s="33" t="s">
        <v>242</v>
      </c>
      <c r="F59" s="33" t="s">
        <v>243</v>
      </c>
      <c r="G59" s="36" t="s">
        <v>112</v>
      </c>
      <c r="H59" s="32" t="s">
        <v>14</v>
      </c>
    </row>
    <row r="60" spans="1:8" s="34" customFormat="1" ht="42.75" hidden="1" x14ac:dyDescent="0.2">
      <c r="A60" s="32">
        <v>89</v>
      </c>
      <c r="B60" s="32" t="s">
        <v>8</v>
      </c>
      <c r="C60" s="33" t="s">
        <v>223</v>
      </c>
      <c r="D60" s="32" t="s">
        <v>244</v>
      </c>
      <c r="E60" s="33" t="s">
        <v>245</v>
      </c>
      <c r="F60" s="33" t="s">
        <v>246</v>
      </c>
      <c r="G60" s="36" t="s">
        <v>112</v>
      </c>
      <c r="H60" s="32" t="s">
        <v>14</v>
      </c>
    </row>
    <row r="61" spans="1:8" s="34" customFormat="1" ht="28.5" hidden="1" x14ac:dyDescent="0.2">
      <c r="A61" s="32">
        <v>90</v>
      </c>
      <c r="B61" s="32" t="s">
        <v>8</v>
      </c>
      <c r="C61" s="33" t="s">
        <v>223</v>
      </c>
      <c r="D61" s="32" t="s">
        <v>247</v>
      </c>
      <c r="E61" s="33" t="s">
        <v>248</v>
      </c>
      <c r="F61" s="33" t="s">
        <v>249</v>
      </c>
      <c r="G61" s="36" t="s">
        <v>112</v>
      </c>
      <c r="H61" s="32" t="s">
        <v>14</v>
      </c>
    </row>
    <row r="62" spans="1:8" s="34" customFormat="1" ht="57" hidden="1" x14ac:dyDescent="0.2">
      <c r="A62" s="32">
        <v>91</v>
      </c>
      <c r="B62" s="32" t="s">
        <v>8</v>
      </c>
      <c r="C62" s="33" t="s">
        <v>223</v>
      </c>
      <c r="D62" s="32" t="s">
        <v>250</v>
      </c>
      <c r="E62" s="33" t="s">
        <v>251</v>
      </c>
      <c r="F62" s="33" t="s">
        <v>252</v>
      </c>
      <c r="G62" s="36" t="s">
        <v>253</v>
      </c>
      <c r="H62" s="32" t="s">
        <v>14</v>
      </c>
    </row>
    <row r="63" spans="1:8" s="34" customFormat="1" ht="128.25" hidden="1" x14ac:dyDescent="0.2">
      <c r="A63" s="32">
        <v>92</v>
      </c>
      <c r="B63" s="32" t="s">
        <v>8</v>
      </c>
      <c r="C63" s="33" t="s">
        <v>223</v>
      </c>
      <c r="D63" s="32" t="s">
        <v>254</v>
      </c>
      <c r="E63" s="33" t="s">
        <v>255</v>
      </c>
      <c r="F63" s="33" t="s">
        <v>256</v>
      </c>
      <c r="G63" s="33" t="s">
        <v>257</v>
      </c>
      <c r="H63" s="32" t="s">
        <v>14</v>
      </c>
    </row>
    <row r="64" spans="1:8" s="34" customFormat="1" ht="85.5" hidden="1" x14ac:dyDescent="0.2">
      <c r="A64" s="32">
        <v>93</v>
      </c>
      <c r="B64" s="32" t="s">
        <v>8</v>
      </c>
      <c r="C64" s="36" t="s">
        <v>223</v>
      </c>
      <c r="D64" s="32" t="s">
        <v>258</v>
      </c>
      <c r="E64" s="33" t="s">
        <v>259</v>
      </c>
      <c r="F64" s="33" t="s">
        <v>260</v>
      </c>
      <c r="G64" s="33" t="s">
        <v>261</v>
      </c>
      <c r="H64" s="32" t="s">
        <v>14</v>
      </c>
    </row>
    <row r="65" spans="1:8" s="34" customFormat="1" ht="57" hidden="1" x14ac:dyDescent="0.2">
      <c r="A65" s="32">
        <v>94</v>
      </c>
      <c r="B65" s="32" t="s">
        <v>262</v>
      </c>
      <c r="C65" s="36" t="s">
        <v>263</v>
      </c>
      <c r="D65" s="32" t="s">
        <v>264</v>
      </c>
      <c r="E65" s="33" t="s">
        <v>265</v>
      </c>
      <c r="F65" s="33" t="s">
        <v>266</v>
      </c>
      <c r="G65" s="36" t="s">
        <v>112</v>
      </c>
      <c r="H65" s="32" t="s">
        <v>14</v>
      </c>
    </row>
    <row r="66" spans="1:8" s="34" customFormat="1" ht="28.5" hidden="1" x14ac:dyDescent="0.2">
      <c r="A66" s="32">
        <v>95</v>
      </c>
      <c r="B66" s="32" t="s">
        <v>262</v>
      </c>
      <c r="C66" s="36" t="s">
        <v>263</v>
      </c>
      <c r="D66" s="32" t="s">
        <v>267</v>
      </c>
      <c r="E66" s="33" t="s">
        <v>268</v>
      </c>
      <c r="F66" s="33" t="s">
        <v>269</v>
      </c>
      <c r="G66" s="33" t="s">
        <v>112</v>
      </c>
      <c r="H66" s="32" t="s">
        <v>14</v>
      </c>
    </row>
    <row r="67" spans="1:8" s="34" customFormat="1" ht="42.75" hidden="1" x14ac:dyDescent="0.2">
      <c r="A67" s="32">
        <v>96</v>
      </c>
      <c r="B67" s="32" t="s">
        <v>262</v>
      </c>
      <c r="C67" s="36" t="s">
        <v>263</v>
      </c>
      <c r="D67" s="32" t="s">
        <v>270</v>
      </c>
      <c r="E67" s="33" t="s">
        <v>271</v>
      </c>
      <c r="F67" s="33" t="s">
        <v>272</v>
      </c>
      <c r="G67" s="33" t="s">
        <v>112</v>
      </c>
      <c r="H67" s="32" t="s">
        <v>14</v>
      </c>
    </row>
    <row r="68" spans="1:8" s="34" customFormat="1" ht="42.75" hidden="1" x14ac:dyDescent="0.2">
      <c r="A68" s="32">
        <v>97</v>
      </c>
      <c r="B68" s="32" t="s">
        <v>262</v>
      </c>
      <c r="C68" s="36" t="s">
        <v>263</v>
      </c>
      <c r="D68" s="32" t="s">
        <v>273</v>
      </c>
      <c r="E68" s="33" t="s">
        <v>274</v>
      </c>
      <c r="F68" s="33" t="s">
        <v>275</v>
      </c>
      <c r="G68" s="33" t="s">
        <v>112</v>
      </c>
      <c r="H68" s="32" t="s">
        <v>14</v>
      </c>
    </row>
    <row r="69" spans="1:8" s="34" customFormat="1" ht="28.5" hidden="1" x14ac:dyDescent="0.2">
      <c r="A69" s="32">
        <v>98</v>
      </c>
      <c r="B69" s="32" t="s">
        <v>262</v>
      </c>
      <c r="C69" s="36" t="s">
        <v>263</v>
      </c>
      <c r="D69" s="32" t="s">
        <v>276</v>
      </c>
      <c r="E69" s="33" t="s">
        <v>277</v>
      </c>
      <c r="F69" s="33" t="s">
        <v>278</v>
      </c>
      <c r="G69" s="33" t="s">
        <v>112</v>
      </c>
      <c r="H69" s="32" t="s">
        <v>14</v>
      </c>
    </row>
    <row r="70" spans="1:8" s="34" customFormat="1" ht="42.75" hidden="1" x14ac:dyDescent="0.2">
      <c r="A70" s="32">
        <v>99</v>
      </c>
      <c r="B70" s="32" t="s">
        <v>262</v>
      </c>
      <c r="C70" s="36" t="s">
        <v>263</v>
      </c>
      <c r="D70" s="32" t="s">
        <v>279</v>
      </c>
      <c r="E70" s="33" t="s">
        <v>280</v>
      </c>
      <c r="F70" s="33" t="s">
        <v>281</v>
      </c>
      <c r="G70" s="33" t="s">
        <v>112</v>
      </c>
      <c r="H70" s="32" t="s">
        <v>14</v>
      </c>
    </row>
    <row r="71" spans="1:8" s="34" customFormat="1" ht="28.5" hidden="1" x14ac:dyDescent="0.2">
      <c r="A71" s="32">
        <v>100</v>
      </c>
      <c r="B71" s="32" t="s">
        <v>262</v>
      </c>
      <c r="C71" s="36" t="s">
        <v>263</v>
      </c>
      <c r="D71" s="32" t="s">
        <v>282</v>
      </c>
      <c r="E71" s="33" t="s">
        <v>283</v>
      </c>
      <c r="F71" s="33" t="s">
        <v>284</v>
      </c>
      <c r="G71" s="33" t="s">
        <v>112</v>
      </c>
      <c r="H71" s="32" t="s">
        <v>14</v>
      </c>
    </row>
    <row r="72" spans="1:8" s="34" customFormat="1" ht="57" hidden="1" x14ac:dyDescent="0.2">
      <c r="A72" s="32">
        <v>101</v>
      </c>
      <c r="B72" s="32" t="s">
        <v>262</v>
      </c>
      <c r="C72" s="36" t="s">
        <v>263</v>
      </c>
      <c r="D72" s="32" t="s">
        <v>285</v>
      </c>
      <c r="E72" s="33" t="s">
        <v>286</v>
      </c>
      <c r="F72" s="33" t="s">
        <v>287</v>
      </c>
      <c r="G72" s="33" t="s">
        <v>112</v>
      </c>
      <c r="H72" s="32" t="s">
        <v>14</v>
      </c>
    </row>
    <row r="73" spans="1:8" s="34" customFormat="1" ht="71.25" hidden="1" x14ac:dyDescent="0.2">
      <c r="A73" s="32">
        <v>102</v>
      </c>
      <c r="B73" s="32" t="s">
        <v>262</v>
      </c>
      <c r="C73" s="36" t="s">
        <v>263</v>
      </c>
      <c r="D73" s="32" t="s">
        <v>288</v>
      </c>
      <c r="E73" s="33" t="s">
        <v>289</v>
      </c>
      <c r="F73" s="33" t="s">
        <v>290</v>
      </c>
      <c r="G73" s="36" t="s">
        <v>291</v>
      </c>
      <c r="H73" s="32" t="s">
        <v>14</v>
      </c>
    </row>
    <row r="74" spans="1:8" s="34" customFormat="1" ht="28.5" hidden="1" x14ac:dyDescent="0.2">
      <c r="A74" s="32">
        <v>103</v>
      </c>
      <c r="B74" s="32" t="s">
        <v>262</v>
      </c>
      <c r="C74" s="36" t="s">
        <v>292</v>
      </c>
      <c r="D74" s="32" t="s">
        <v>293</v>
      </c>
      <c r="E74" s="33" t="s">
        <v>294</v>
      </c>
      <c r="F74" s="33" t="s">
        <v>295</v>
      </c>
      <c r="G74" s="33" t="s">
        <v>112</v>
      </c>
      <c r="H74" s="32" t="s">
        <v>14</v>
      </c>
    </row>
    <row r="75" spans="1:8" s="34" customFormat="1" ht="28.5" hidden="1" x14ac:dyDescent="0.2">
      <c r="A75" s="32">
        <v>104</v>
      </c>
      <c r="B75" s="32" t="s">
        <v>262</v>
      </c>
      <c r="C75" s="36" t="s">
        <v>292</v>
      </c>
      <c r="D75" s="32" t="s">
        <v>296</v>
      </c>
      <c r="E75" s="33" t="s">
        <v>297</v>
      </c>
      <c r="F75" s="33" t="s">
        <v>298</v>
      </c>
      <c r="G75" s="33" t="s">
        <v>112</v>
      </c>
      <c r="H75" s="32" t="s">
        <v>14</v>
      </c>
    </row>
    <row r="76" spans="1:8" s="34" customFormat="1" ht="28.5" hidden="1" x14ac:dyDescent="0.2">
      <c r="A76" s="32">
        <v>105</v>
      </c>
      <c r="B76" s="32" t="s">
        <v>262</v>
      </c>
      <c r="C76" s="36" t="s">
        <v>292</v>
      </c>
      <c r="D76" s="32" t="s">
        <v>299</v>
      </c>
      <c r="E76" s="33" t="s">
        <v>300</v>
      </c>
      <c r="F76" s="33" t="s">
        <v>301</v>
      </c>
      <c r="G76" s="33" t="s">
        <v>112</v>
      </c>
      <c r="H76" s="32" t="s">
        <v>14</v>
      </c>
    </row>
    <row r="77" spans="1:8" s="34" customFormat="1" ht="85.5" hidden="1" x14ac:dyDescent="0.2">
      <c r="A77" s="32">
        <v>119</v>
      </c>
      <c r="B77" s="32" t="s">
        <v>262</v>
      </c>
      <c r="C77" s="36" t="s">
        <v>302</v>
      </c>
      <c r="D77" s="32" t="s">
        <v>303</v>
      </c>
      <c r="E77" s="33" t="s">
        <v>304</v>
      </c>
      <c r="F77" s="33" t="s">
        <v>305</v>
      </c>
      <c r="G77" s="33" t="s">
        <v>306</v>
      </c>
      <c r="H77" s="32" t="s">
        <v>14</v>
      </c>
    </row>
    <row r="78" spans="1:8" s="34" customFormat="1" ht="85.5" hidden="1" x14ac:dyDescent="0.2">
      <c r="A78" s="32">
        <v>120</v>
      </c>
      <c r="B78" s="32" t="s">
        <v>262</v>
      </c>
      <c r="C78" s="36" t="s">
        <v>302</v>
      </c>
      <c r="D78" s="32" t="s">
        <v>307</v>
      </c>
      <c r="E78" s="33" t="s">
        <v>308</v>
      </c>
      <c r="F78" s="33" t="s">
        <v>309</v>
      </c>
      <c r="G78" s="33" t="s">
        <v>310</v>
      </c>
      <c r="H78" s="32" t="s">
        <v>14</v>
      </c>
    </row>
    <row r="79" spans="1:8" s="34" customFormat="1" ht="57" hidden="1" x14ac:dyDescent="0.2">
      <c r="A79" s="32">
        <v>123</v>
      </c>
      <c r="B79" s="32" t="s">
        <v>262</v>
      </c>
      <c r="C79" s="36" t="s">
        <v>302</v>
      </c>
      <c r="D79" s="32" t="s">
        <v>311</v>
      </c>
      <c r="E79" s="33" t="s">
        <v>312</v>
      </c>
      <c r="F79" s="33" t="s">
        <v>313</v>
      </c>
      <c r="G79" s="36" t="s">
        <v>314</v>
      </c>
      <c r="H79" s="32" t="s">
        <v>14</v>
      </c>
    </row>
    <row r="80" spans="1:8" s="34" customFormat="1" ht="128.25" hidden="1" x14ac:dyDescent="0.2">
      <c r="A80" s="32">
        <v>124</v>
      </c>
      <c r="B80" s="32" t="s">
        <v>262</v>
      </c>
      <c r="C80" s="36" t="s">
        <v>302</v>
      </c>
      <c r="D80" s="32" t="s">
        <v>315</v>
      </c>
      <c r="E80" s="33" t="s">
        <v>316</v>
      </c>
      <c r="F80" s="33" t="s">
        <v>317</v>
      </c>
      <c r="G80" s="33" t="s">
        <v>318</v>
      </c>
      <c r="H80" s="32" t="s">
        <v>14</v>
      </c>
    </row>
    <row r="81" spans="1:8" s="34" customFormat="1" ht="114" hidden="1" x14ac:dyDescent="0.2">
      <c r="A81" s="32">
        <v>125</v>
      </c>
      <c r="B81" s="32" t="s">
        <v>262</v>
      </c>
      <c r="C81" s="36" t="s">
        <v>302</v>
      </c>
      <c r="D81" s="32" t="s">
        <v>319</v>
      </c>
      <c r="E81" s="33" t="s">
        <v>320</v>
      </c>
      <c r="F81" s="33" t="s">
        <v>321</v>
      </c>
      <c r="G81" s="36" t="s">
        <v>322</v>
      </c>
      <c r="H81" s="32" t="s">
        <v>14</v>
      </c>
    </row>
    <row r="82" spans="1:8" s="34" customFormat="1" ht="14.25" hidden="1" x14ac:dyDescent="0.2">
      <c r="A82" s="32">
        <v>128</v>
      </c>
      <c r="B82" s="32" t="s">
        <v>262</v>
      </c>
      <c r="C82" s="36" t="s">
        <v>302</v>
      </c>
      <c r="D82" s="32" t="s">
        <v>323</v>
      </c>
      <c r="E82" s="33" t="s">
        <v>324</v>
      </c>
      <c r="F82" s="33" t="s">
        <v>325</v>
      </c>
      <c r="G82" s="36" t="s">
        <v>326</v>
      </c>
      <c r="H82" s="32" t="s">
        <v>14</v>
      </c>
    </row>
    <row r="83" spans="1:8" s="34" customFormat="1" ht="42.75" hidden="1" x14ac:dyDescent="0.2">
      <c r="A83" s="32">
        <v>129</v>
      </c>
      <c r="B83" s="32" t="s">
        <v>262</v>
      </c>
      <c r="C83" s="36" t="s">
        <v>302</v>
      </c>
      <c r="D83" s="32" t="s">
        <v>327</v>
      </c>
      <c r="E83" s="33" t="s">
        <v>328</v>
      </c>
      <c r="F83" s="33" t="s">
        <v>329</v>
      </c>
      <c r="G83" s="33" t="s">
        <v>330</v>
      </c>
      <c r="H83" s="32" t="s">
        <v>14</v>
      </c>
    </row>
    <row r="84" spans="1:8" s="34" customFormat="1" ht="42.75" hidden="1" x14ac:dyDescent="0.2">
      <c r="A84" s="32">
        <v>130</v>
      </c>
      <c r="B84" s="32" t="s">
        <v>262</v>
      </c>
      <c r="C84" s="36" t="s">
        <v>302</v>
      </c>
      <c r="D84" s="32" t="s">
        <v>331</v>
      </c>
      <c r="E84" s="33" t="s">
        <v>332</v>
      </c>
      <c r="F84" s="33" t="s">
        <v>333</v>
      </c>
      <c r="G84" s="33" t="s">
        <v>334</v>
      </c>
      <c r="H84" s="32" t="s">
        <v>14</v>
      </c>
    </row>
    <row r="85" spans="1:8" s="34" customFormat="1" ht="42.75" hidden="1" x14ac:dyDescent="0.2">
      <c r="A85" s="32">
        <v>131</v>
      </c>
      <c r="B85" s="32" t="s">
        <v>262</v>
      </c>
      <c r="C85" s="36" t="s">
        <v>302</v>
      </c>
      <c r="D85" s="32" t="s">
        <v>335</v>
      </c>
      <c r="E85" s="33" t="s">
        <v>336</v>
      </c>
      <c r="F85" s="33" t="s">
        <v>337</v>
      </c>
      <c r="G85" s="33" t="s">
        <v>338</v>
      </c>
      <c r="H85" s="32" t="s">
        <v>14</v>
      </c>
    </row>
    <row r="86" spans="1:8" s="34" customFormat="1" ht="42.75" hidden="1" x14ac:dyDescent="0.2">
      <c r="A86" s="32">
        <v>132</v>
      </c>
      <c r="B86" s="32" t="s">
        <v>262</v>
      </c>
      <c r="C86" s="36" t="s">
        <v>302</v>
      </c>
      <c r="D86" s="32" t="s">
        <v>339</v>
      </c>
      <c r="E86" s="33" t="s">
        <v>340</v>
      </c>
      <c r="F86" s="33" t="s">
        <v>341</v>
      </c>
      <c r="G86" s="33" t="s">
        <v>342</v>
      </c>
      <c r="H86" s="32" t="s">
        <v>14</v>
      </c>
    </row>
    <row r="87" spans="1:8" s="34" customFormat="1" ht="57" hidden="1" x14ac:dyDescent="0.2">
      <c r="A87" s="32">
        <v>133</v>
      </c>
      <c r="B87" s="32" t="s">
        <v>262</v>
      </c>
      <c r="C87" s="36" t="s">
        <v>302</v>
      </c>
      <c r="D87" s="32" t="s">
        <v>343</v>
      </c>
      <c r="E87" s="33" t="s">
        <v>344</v>
      </c>
      <c r="F87" s="33" t="s">
        <v>345</v>
      </c>
      <c r="G87" s="33" t="s">
        <v>346</v>
      </c>
      <c r="H87" s="32" t="s">
        <v>14</v>
      </c>
    </row>
    <row r="88" spans="1:8" s="34" customFormat="1" ht="42.75" hidden="1" x14ac:dyDescent="0.2">
      <c r="A88" s="32">
        <v>134</v>
      </c>
      <c r="B88" s="32" t="s">
        <v>262</v>
      </c>
      <c r="C88" s="36" t="s">
        <v>302</v>
      </c>
      <c r="D88" s="32" t="s">
        <v>347</v>
      </c>
      <c r="E88" s="33" t="s">
        <v>348</v>
      </c>
      <c r="F88" s="33" t="s">
        <v>349</v>
      </c>
      <c r="G88" s="33" t="s">
        <v>350</v>
      </c>
      <c r="H88" s="32" t="s">
        <v>14</v>
      </c>
    </row>
    <row r="89" spans="1:8" s="34" customFormat="1" ht="28.5" hidden="1" x14ac:dyDescent="0.2">
      <c r="A89" s="32">
        <v>135</v>
      </c>
      <c r="B89" s="32" t="s">
        <v>262</v>
      </c>
      <c r="C89" s="36" t="s">
        <v>302</v>
      </c>
      <c r="D89" s="32" t="s">
        <v>351</v>
      </c>
      <c r="E89" s="33" t="s">
        <v>352</v>
      </c>
      <c r="F89" s="33" t="s">
        <v>353</v>
      </c>
      <c r="G89" s="33" t="s">
        <v>354</v>
      </c>
      <c r="H89" s="32" t="s">
        <v>14</v>
      </c>
    </row>
    <row r="90" spans="1:8" s="34" customFormat="1" ht="28.5" hidden="1" x14ac:dyDescent="0.2">
      <c r="A90" s="32">
        <v>136</v>
      </c>
      <c r="B90" s="32" t="s">
        <v>262</v>
      </c>
      <c r="C90" s="36" t="s">
        <v>302</v>
      </c>
      <c r="D90" s="32" t="s">
        <v>355</v>
      </c>
      <c r="E90" s="33" t="s">
        <v>356</v>
      </c>
      <c r="F90" s="33" t="s">
        <v>357</v>
      </c>
      <c r="G90" s="33" t="s">
        <v>358</v>
      </c>
      <c r="H90" s="32" t="s">
        <v>14</v>
      </c>
    </row>
    <row r="91" spans="1:8" s="34" customFormat="1" ht="28.5" hidden="1" x14ac:dyDescent="0.2">
      <c r="A91" s="32">
        <v>137</v>
      </c>
      <c r="B91" s="32" t="s">
        <v>262</v>
      </c>
      <c r="C91" s="36" t="s">
        <v>302</v>
      </c>
      <c r="D91" s="32" t="s">
        <v>359</v>
      </c>
      <c r="E91" s="33" t="s">
        <v>360</v>
      </c>
      <c r="F91" s="33" t="s">
        <v>361</v>
      </c>
      <c r="G91" s="36" t="s">
        <v>362</v>
      </c>
      <c r="H91" s="32" t="s">
        <v>14</v>
      </c>
    </row>
    <row r="92" spans="1:8" s="34" customFormat="1" ht="28.5" hidden="1" x14ac:dyDescent="0.2">
      <c r="A92" s="32">
        <v>138</v>
      </c>
      <c r="B92" s="32" t="s">
        <v>262</v>
      </c>
      <c r="C92" s="36" t="s">
        <v>302</v>
      </c>
      <c r="D92" s="32" t="s">
        <v>363</v>
      </c>
      <c r="E92" s="33" t="s">
        <v>364</v>
      </c>
      <c r="F92" s="33" t="s">
        <v>365</v>
      </c>
      <c r="G92" s="36" t="s">
        <v>366</v>
      </c>
      <c r="H92" s="32" t="s">
        <v>14</v>
      </c>
    </row>
    <row r="93" spans="1:8" s="34" customFormat="1" ht="28.5" hidden="1" x14ac:dyDescent="0.2">
      <c r="A93" s="32">
        <v>139</v>
      </c>
      <c r="B93" s="32" t="s">
        <v>262</v>
      </c>
      <c r="C93" s="36" t="s">
        <v>302</v>
      </c>
      <c r="D93" s="32" t="s">
        <v>367</v>
      </c>
      <c r="E93" s="33" t="s">
        <v>368</v>
      </c>
      <c r="F93" s="33" t="s">
        <v>369</v>
      </c>
      <c r="G93" s="33" t="s">
        <v>370</v>
      </c>
      <c r="H93" s="32" t="s">
        <v>14</v>
      </c>
    </row>
    <row r="94" spans="1:8" s="34" customFormat="1" ht="28.5" hidden="1" x14ac:dyDescent="0.2">
      <c r="A94" s="32">
        <v>140</v>
      </c>
      <c r="B94" s="32" t="s">
        <v>262</v>
      </c>
      <c r="C94" s="36" t="s">
        <v>302</v>
      </c>
      <c r="D94" s="32" t="s">
        <v>371</v>
      </c>
      <c r="E94" s="33" t="s">
        <v>372</v>
      </c>
      <c r="F94" s="33" t="s">
        <v>373</v>
      </c>
      <c r="G94" s="33" t="s">
        <v>374</v>
      </c>
      <c r="H94" s="32" t="s">
        <v>14</v>
      </c>
    </row>
    <row r="95" spans="1:8" s="34" customFormat="1" ht="28.5" hidden="1" x14ac:dyDescent="0.2">
      <c r="A95" s="32">
        <v>141</v>
      </c>
      <c r="B95" s="32" t="s">
        <v>262</v>
      </c>
      <c r="C95" s="36" t="s">
        <v>302</v>
      </c>
      <c r="D95" s="32" t="s">
        <v>375</v>
      </c>
      <c r="E95" s="33" t="s">
        <v>376</v>
      </c>
      <c r="F95" s="33" t="s">
        <v>377</v>
      </c>
      <c r="G95" s="33" t="s">
        <v>378</v>
      </c>
      <c r="H95" s="32" t="s">
        <v>14</v>
      </c>
    </row>
    <row r="96" spans="1:8" s="34" customFormat="1" ht="114" hidden="1" x14ac:dyDescent="0.2">
      <c r="A96" s="32">
        <v>142</v>
      </c>
      <c r="B96" s="32" t="s">
        <v>262</v>
      </c>
      <c r="C96" s="36" t="s">
        <v>302</v>
      </c>
      <c r="D96" s="32" t="s">
        <v>379</v>
      </c>
      <c r="E96" s="33" t="s">
        <v>380</v>
      </c>
      <c r="F96" s="33" t="s">
        <v>381</v>
      </c>
      <c r="G96" s="33" t="s">
        <v>382</v>
      </c>
      <c r="H96" s="32" t="s">
        <v>14</v>
      </c>
    </row>
    <row r="97" spans="1:8" s="34" customFormat="1" ht="71.25" hidden="1" x14ac:dyDescent="0.2">
      <c r="A97" s="32">
        <v>143</v>
      </c>
      <c r="B97" s="32" t="s">
        <v>262</v>
      </c>
      <c r="C97" s="36" t="s">
        <v>302</v>
      </c>
      <c r="D97" s="32" t="s">
        <v>383</v>
      </c>
      <c r="E97" s="33" t="s">
        <v>384</v>
      </c>
      <c r="F97" s="33" t="s">
        <v>385</v>
      </c>
      <c r="G97" s="33" t="s">
        <v>386</v>
      </c>
      <c r="H97" s="32" t="s">
        <v>14</v>
      </c>
    </row>
    <row r="98" spans="1:8" s="34" customFormat="1" ht="57" hidden="1" x14ac:dyDescent="0.2">
      <c r="A98" s="32">
        <v>144</v>
      </c>
      <c r="B98" s="32" t="s">
        <v>262</v>
      </c>
      <c r="C98" s="36" t="s">
        <v>302</v>
      </c>
      <c r="D98" s="32" t="s">
        <v>387</v>
      </c>
      <c r="E98" s="33" t="s">
        <v>388</v>
      </c>
      <c r="F98" s="33" t="s">
        <v>389</v>
      </c>
      <c r="G98" s="33" t="s">
        <v>390</v>
      </c>
      <c r="H98" s="32" t="s">
        <v>14</v>
      </c>
    </row>
    <row r="99" spans="1:8" s="34" customFormat="1" ht="57" hidden="1" x14ac:dyDescent="0.2">
      <c r="A99" s="32">
        <v>145</v>
      </c>
      <c r="B99" s="32" t="s">
        <v>262</v>
      </c>
      <c r="C99" s="36" t="s">
        <v>302</v>
      </c>
      <c r="D99" s="32" t="s">
        <v>391</v>
      </c>
      <c r="E99" s="33" t="s">
        <v>392</v>
      </c>
      <c r="F99" s="33" t="s">
        <v>393</v>
      </c>
      <c r="G99" s="33" t="s">
        <v>394</v>
      </c>
      <c r="H99" s="32" t="s">
        <v>14</v>
      </c>
    </row>
    <row r="100" spans="1:8" s="34" customFormat="1" ht="57" hidden="1" x14ac:dyDescent="0.2">
      <c r="A100" s="32">
        <v>146</v>
      </c>
      <c r="B100" s="32" t="s">
        <v>262</v>
      </c>
      <c r="C100" s="36" t="s">
        <v>302</v>
      </c>
      <c r="D100" s="32" t="s">
        <v>395</v>
      </c>
      <c r="E100" s="33" t="s">
        <v>396</v>
      </c>
      <c r="F100" s="33" t="s">
        <v>397</v>
      </c>
      <c r="G100" s="33" t="s">
        <v>398</v>
      </c>
      <c r="H100" s="32" t="s">
        <v>14</v>
      </c>
    </row>
    <row r="101" spans="1:8" s="34" customFormat="1" ht="71.25" hidden="1" x14ac:dyDescent="0.2">
      <c r="A101" s="32">
        <v>147</v>
      </c>
      <c r="B101" s="32" t="s">
        <v>262</v>
      </c>
      <c r="C101" s="36" t="s">
        <v>302</v>
      </c>
      <c r="D101" s="32" t="s">
        <v>399</v>
      </c>
      <c r="E101" s="33" t="s">
        <v>400</v>
      </c>
      <c r="F101" s="33" t="s">
        <v>401</v>
      </c>
      <c r="G101" s="33" t="s">
        <v>402</v>
      </c>
      <c r="H101" s="32" t="s">
        <v>14</v>
      </c>
    </row>
    <row r="102" spans="1:8" s="34" customFormat="1" ht="71.25" hidden="1" x14ac:dyDescent="0.2">
      <c r="A102" s="32">
        <v>148</v>
      </c>
      <c r="B102" s="32" t="s">
        <v>262</v>
      </c>
      <c r="C102" s="36" t="s">
        <v>302</v>
      </c>
      <c r="D102" s="32" t="s">
        <v>403</v>
      </c>
      <c r="E102" s="33" t="s">
        <v>404</v>
      </c>
      <c r="F102" s="33" t="s">
        <v>405</v>
      </c>
      <c r="G102" s="33" t="s">
        <v>406</v>
      </c>
      <c r="H102" s="32" t="s">
        <v>14</v>
      </c>
    </row>
    <row r="103" spans="1:8" s="34" customFormat="1" ht="42.75" hidden="1" x14ac:dyDescent="0.2">
      <c r="A103" s="32">
        <v>149</v>
      </c>
      <c r="B103" s="32" t="s">
        <v>262</v>
      </c>
      <c r="C103" s="36" t="s">
        <v>302</v>
      </c>
      <c r="D103" s="32" t="s">
        <v>407</v>
      </c>
      <c r="E103" s="33" t="s">
        <v>408</v>
      </c>
      <c r="F103" s="33" t="s">
        <v>409</v>
      </c>
      <c r="G103" s="33" t="s">
        <v>410</v>
      </c>
      <c r="H103" s="32" t="s">
        <v>14</v>
      </c>
    </row>
    <row r="104" spans="1:8" s="34" customFormat="1" ht="42.75" hidden="1" x14ac:dyDescent="0.2">
      <c r="A104" s="32">
        <v>150</v>
      </c>
      <c r="B104" s="32" t="s">
        <v>262</v>
      </c>
      <c r="C104" s="36" t="s">
        <v>302</v>
      </c>
      <c r="D104" s="32" t="s">
        <v>411</v>
      </c>
      <c r="E104" s="33" t="s">
        <v>412</v>
      </c>
      <c r="F104" s="33" t="s">
        <v>413</v>
      </c>
      <c r="G104" s="33" t="s">
        <v>414</v>
      </c>
      <c r="H104" s="32" t="s">
        <v>14</v>
      </c>
    </row>
    <row r="105" spans="1:8" s="34" customFormat="1" ht="42.75" hidden="1" x14ac:dyDescent="0.2">
      <c r="A105" s="32">
        <v>151</v>
      </c>
      <c r="B105" s="32" t="s">
        <v>262</v>
      </c>
      <c r="C105" s="36" t="s">
        <v>302</v>
      </c>
      <c r="D105" s="32" t="s">
        <v>415</v>
      </c>
      <c r="E105" s="33" t="s">
        <v>416</v>
      </c>
      <c r="F105" s="33" t="s">
        <v>417</v>
      </c>
      <c r="G105" s="33" t="s">
        <v>418</v>
      </c>
      <c r="H105" s="32" t="s">
        <v>14</v>
      </c>
    </row>
    <row r="106" spans="1:8" s="34" customFormat="1" ht="28.5" hidden="1" x14ac:dyDescent="0.2">
      <c r="A106" s="32">
        <v>152</v>
      </c>
      <c r="B106" s="32" t="s">
        <v>262</v>
      </c>
      <c r="C106" s="36" t="s">
        <v>302</v>
      </c>
      <c r="D106" s="32" t="s">
        <v>419</v>
      </c>
      <c r="E106" s="33" t="s">
        <v>420</v>
      </c>
      <c r="F106" s="33" t="s">
        <v>421</v>
      </c>
      <c r="G106" s="33" t="s">
        <v>422</v>
      </c>
      <c r="H106" s="32" t="s">
        <v>14</v>
      </c>
    </row>
    <row r="107" spans="1:8" s="34" customFormat="1" ht="28.5" hidden="1" x14ac:dyDescent="0.2">
      <c r="A107" s="32">
        <v>153</v>
      </c>
      <c r="B107" s="32" t="s">
        <v>262</v>
      </c>
      <c r="C107" s="36" t="s">
        <v>302</v>
      </c>
      <c r="D107" s="32" t="s">
        <v>423</v>
      </c>
      <c r="E107" s="33" t="s">
        <v>424</v>
      </c>
      <c r="F107" s="33" t="s">
        <v>425</v>
      </c>
      <c r="G107" s="33" t="s">
        <v>426</v>
      </c>
      <c r="H107" s="32" t="s">
        <v>14</v>
      </c>
    </row>
    <row r="108" spans="1:8" s="34" customFormat="1" ht="99.75" hidden="1" x14ac:dyDescent="0.2">
      <c r="A108" s="32">
        <v>154</v>
      </c>
      <c r="B108" s="32" t="s">
        <v>262</v>
      </c>
      <c r="C108" s="36" t="s">
        <v>302</v>
      </c>
      <c r="D108" s="32" t="s">
        <v>427</v>
      </c>
      <c r="E108" s="33" t="s">
        <v>428</v>
      </c>
      <c r="F108" s="33" t="s">
        <v>429</v>
      </c>
      <c r="G108" s="33" t="s">
        <v>430</v>
      </c>
      <c r="H108" s="32" t="s">
        <v>14</v>
      </c>
    </row>
    <row r="109" spans="1:8" s="34" customFormat="1" ht="99.75" hidden="1" x14ac:dyDescent="0.2">
      <c r="A109" s="32">
        <v>155</v>
      </c>
      <c r="B109" s="32" t="s">
        <v>262</v>
      </c>
      <c r="C109" s="36" t="s">
        <v>302</v>
      </c>
      <c r="D109" s="32" t="s">
        <v>431</v>
      </c>
      <c r="E109" s="33" t="s">
        <v>432</v>
      </c>
      <c r="F109" s="33" t="s">
        <v>433</v>
      </c>
      <c r="G109" s="33" t="s">
        <v>434</v>
      </c>
      <c r="H109" s="32" t="s">
        <v>14</v>
      </c>
    </row>
    <row r="110" spans="1:8" s="34" customFormat="1" ht="85.5" hidden="1" x14ac:dyDescent="0.2">
      <c r="A110" s="32">
        <v>156</v>
      </c>
      <c r="B110" s="32" t="s">
        <v>262</v>
      </c>
      <c r="C110" s="36" t="s">
        <v>302</v>
      </c>
      <c r="D110" s="32" t="s">
        <v>435</v>
      </c>
      <c r="E110" s="33" t="s">
        <v>436</v>
      </c>
      <c r="F110" s="33" t="s">
        <v>437</v>
      </c>
      <c r="G110" s="33" t="s">
        <v>438</v>
      </c>
      <c r="H110" s="32" t="s">
        <v>14</v>
      </c>
    </row>
    <row r="111" spans="1:8" s="34" customFormat="1" ht="42.75" hidden="1" x14ac:dyDescent="0.2">
      <c r="A111" s="32">
        <v>157</v>
      </c>
      <c r="B111" s="32" t="s">
        <v>262</v>
      </c>
      <c r="C111" s="36" t="s">
        <v>302</v>
      </c>
      <c r="D111" s="32" t="s">
        <v>439</v>
      </c>
      <c r="E111" s="33" t="s">
        <v>440</v>
      </c>
      <c r="F111" s="33" t="s">
        <v>441</v>
      </c>
      <c r="G111" s="33" t="s">
        <v>442</v>
      </c>
      <c r="H111" s="32" t="s">
        <v>14</v>
      </c>
    </row>
    <row r="112" spans="1:8" s="34" customFormat="1" ht="28.5" hidden="1" x14ac:dyDescent="0.2">
      <c r="A112" s="32">
        <v>158</v>
      </c>
      <c r="B112" s="32" t="s">
        <v>262</v>
      </c>
      <c r="C112" s="36" t="s">
        <v>302</v>
      </c>
      <c r="D112" s="32" t="s">
        <v>443</v>
      </c>
      <c r="E112" s="33" t="s">
        <v>444</v>
      </c>
      <c r="F112" s="33" t="s">
        <v>445</v>
      </c>
      <c r="G112" s="33" t="s">
        <v>446</v>
      </c>
      <c r="H112" s="32" t="s">
        <v>14</v>
      </c>
    </row>
    <row r="113" spans="1:8" s="34" customFormat="1" ht="42.75" hidden="1" x14ac:dyDescent="0.2">
      <c r="A113" s="32">
        <v>159</v>
      </c>
      <c r="B113" s="32" t="s">
        <v>262</v>
      </c>
      <c r="C113" s="36" t="s">
        <v>302</v>
      </c>
      <c r="D113" s="32" t="s">
        <v>447</v>
      </c>
      <c r="E113" s="33" t="s">
        <v>448</v>
      </c>
      <c r="F113" s="33" t="s">
        <v>449</v>
      </c>
      <c r="G113" s="33" t="s">
        <v>450</v>
      </c>
      <c r="H113" s="32" t="s">
        <v>14</v>
      </c>
    </row>
    <row r="114" spans="1:8" s="34" customFormat="1" ht="28.5" hidden="1" x14ac:dyDescent="0.2">
      <c r="A114" s="32">
        <v>160</v>
      </c>
      <c r="B114" s="32" t="s">
        <v>262</v>
      </c>
      <c r="C114" s="36" t="s">
        <v>302</v>
      </c>
      <c r="D114" s="32" t="s">
        <v>451</v>
      </c>
      <c r="E114" s="33" t="s">
        <v>452</v>
      </c>
      <c r="F114" s="33" t="s">
        <v>453</v>
      </c>
      <c r="G114" s="33" t="s">
        <v>454</v>
      </c>
      <c r="H114" s="32" t="s">
        <v>14</v>
      </c>
    </row>
    <row r="115" spans="1:8" s="34" customFormat="1" ht="14.25" hidden="1" x14ac:dyDescent="0.2">
      <c r="A115" s="32">
        <v>161</v>
      </c>
      <c r="B115" s="32" t="s">
        <v>262</v>
      </c>
      <c r="C115" s="36" t="s">
        <v>302</v>
      </c>
      <c r="D115" s="32" t="s">
        <v>455</v>
      </c>
      <c r="E115" s="33" t="s">
        <v>456</v>
      </c>
      <c r="F115" s="33" t="s">
        <v>457</v>
      </c>
      <c r="G115" s="33" t="s">
        <v>458</v>
      </c>
      <c r="H115" s="32" t="s">
        <v>14</v>
      </c>
    </row>
    <row r="116" spans="1:8" s="34" customFormat="1" ht="28.5" hidden="1" x14ac:dyDescent="0.2">
      <c r="A116" s="32">
        <v>162</v>
      </c>
      <c r="B116" s="32" t="s">
        <v>262</v>
      </c>
      <c r="C116" s="36" t="s">
        <v>302</v>
      </c>
      <c r="D116" s="32" t="s">
        <v>459</v>
      </c>
      <c r="E116" s="33" t="s">
        <v>460</v>
      </c>
      <c r="F116" s="33" t="s">
        <v>461</v>
      </c>
      <c r="G116" s="36" t="s">
        <v>462</v>
      </c>
      <c r="H116" s="32" t="s">
        <v>14</v>
      </c>
    </row>
    <row r="117" spans="1:8" s="34" customFormat="1" ht="85.5" hidden="1" x14ac:dyDescent="0.2">
      <c r="A117" s="32">
        <v>167</v>
      </c>
      <c r="B117" s="32" t="s">
        <v>262</v>
      </c>
      <c r="C117" s="36" t="s">
        <v>463</v>
      </c>
      <c r="D117" s="32" t="s">
        <v>464</v>
      </c>
      <c r="E117" s="33" t="s">
        <v>465</v>
      </c>
      <c r="F117" s="33" t="s">
        <v>466</v>
      </c>
      <c r="G117" s="36" t="s">
        <v>467</v>
      </c>
      <c r="H117" s="32" t="s">
        <v>14</v>
      </c>
    </row>
    <row r="118" spans="1:8" s="34" customFormat="1" ht="85.5" hidden="1" x14ac:dyDescent="0.2">
      <c r="A118" s="32">
        <v>169</v>
      </c>
      <c r="B118" s="32" t="s">
        <v>262</v>
      </c>
      <c r="C118" s="36" t="s">
        <v>463</v>
      </c>
      <c r="D118" s="32" t="s">
        <v>468</v>
      </c>
      <c r="E118" s="33" t="s">
        <v>469</v>
      </c>
      <c r="F118" s="33" t="s">
        <v>470</v>
      </c>
      <c r="G118" s="33" t="s">
        <v>471</v>
      </c>
      <c r="H118" s="32" t="s">
        <v>14</v>
      </c>
    </row>
    <row r="119" spans="1:8" s="34" customFormat="1" ht="99.75" hidden="1" x14ac:dyDescent="0.2">
      <c r="A119" s="32">
        <v>170</v>
      </c>
      <c r="B119" s="32" t="s">
        <v>262</v>
      </c>
      <c r="C119" s="36" t="s">
        <v>463</v>
      </c>
      <c r="D119" s="32" t="s">
        <v>472</v>
      </c>
      <c r="E119" s="33" t="s">
        <v>473</v>
      </c>
      <c r="F119" s="33" t="s">
        <v>474</v>
      </c>
      <c r="G119" s="36" t="s">
        <v>475</v>
      </c>
      <c r="H119" s="32" t="s">
        <v>14</v>
      </c>
    </row>
    <row r="120" spans="1:8" s="34" customFormat="1" ht="99.75" hidden="1" x14ac:dyDescent="0.2">
      <c r="A120" s="32">
        <v>171</v>
      </c>
      <c r="B120" s="32" t="s">
        <v>262</v>
      </c>
      <c r="C120" s="36" t="s">
        <v>476</v>
      </c>
      <c r="D120" s="32" t="s">
        <v>477</v>
      </c>
      <c r="E120" s="33" t="s">
        <v>478</v>
      </c>
      <c r="F120" s="33" t="s">
        <v>479</v>
      </c>
      <c r="G120" s="33" t="s">
        <v>480</v>
      </c>
      <c r="H120" s="32" t="s">
        <v>14</v>
      </c>
    </row>
    <row r="121" spans="1:8" s="34" customFormat="1" ht="71.25" hidden="1" x14ac:dyDescent="0.2">
      <c r="A121" s="32">
        <v>172</v>
      </c>
      <c r="B121" s="32" t="s">
        <v>262</v>
      </c>
      <c r="C121" s="36" t="s">
        <v>476</v>
      </c>
      <c r="D121" s="32" t="s">
        <v>481</v>
      </c>
      <c r="E121" s="33" t="s">
        <v>482</v>
      </c>
      <c r="F121" s="33" t="s">
        <v>483</v>
      </c>
      <c r="G121" s="36" t="s">
        <v>484</v>
      </c>
      <c r="H121" s="32" t="s">
        <v>14</v>
      </c>
    </row>
    <row r="122" spans="1:8" s="34" customFormat="1" ht="57" hidden="1" x14ac:dyDescent="0.2">
      <c r="A122" s="32">
        <v>173</v>
      </c>
      <c r="B122" s="32" t="s">
        <v>262</v>
      </c>
      <c r="C122" s="36" t="s">
        <v>476</v>
      </c>
      <c r="D122" s="32" t="s">
        <v>485</v>
      </c>
      <c r="E122" s="33" t="s">
        <v>486</v>
      </c>
      <c r="F122" s="33" t="s">
        <v>487</v>
      </c>
      <c r="G122" s="33" t="s">
        <v>488</v>
      </c>
      <c r="H122" s="32" t="s">
        <v>14</v>
      </c>
    </row>
    <row r="123" spans="1:8" s="34" customFormat="1" ht="71.25" hidden="1" x14ac:dyDescent="0.2">
      <c r="A123" s="32">
        <v>174</v>
      </c>
      <c r="B123" s="32" t="s">
        <v>262</v>
      </c>
      <c r="C123" s="36" t="s">
        <v>476</v>
      </c>
      <c r="D123" s="32" t="s">
        <v>489</v>
      </c>
      <c r="E123" s="33" t="s">
        <v>490</v>
      </c>
      <c r="F123" s="33" t="s">
        <v>491</v>
      </c>
      <c r="G123" s="33" t="s">
        <v>492</v>
      </c>
      <c r="H123" s="32" t="s">
        <v>14</v>
      </c>
    </row>
    <row r="124" spans="1:8" s="34" customFormat="1" ht="185.25" hidden="1" x14ac:dyDescent="0.2">
      <c r="A124" s="32">
        <v>175</v>
      </c>
      <c r="B124" s="32" t="s">
        <v>262</v>
      </c>
      <c r="C124" s="36" t="s">
        <v>476</v>
      </c>
      <c r="D124" s="32" t="s">
        <v>493</v>
      </c>
      <c r="E124" s="33" t="s">
        <v>494</v>
      </c>
      <c r="F124" s="33" t="s">
        <v>495</v>
      </c>
      <c r="G124" s="33" t="s">
        <v>496</v>
      </c>
      <c r="H124" s="32" t="s">
        <v>14</v>
      </c>
    </row>
    <row r="125" spans="1:8" s="34" customFormat="1" ht="199.5" hidden="1" x14ac:dyDescent="0.2">
      <c r="A125" s="32">
        <v>176</v>
      </c>
      <c r="B125" s="32" t="s">
        <v>262</v>
      </c>
      <c r="C125" s="36" t="s">
        <v>476</v>
      </c>
      <c r="D125" s="32" t="s">
        <v>497</v>
      </c>
      <c r="E125" s="33" t="s">
        <v>498</v>
      </c>
      <c r="F125" s="33" t="s">
        <v>499</v>
      </c>
      <c r="G125" s="36" t="s">
        <v>500</v>
      </c>
      <c r="H125" s="32" t="s">
        <v>14</v>
      </c>
    </row>
    <row r="126" spans="1:8" s="34" customFormat="1" ht="171" hidden="1" x14ac:dyDescent="0.2">
      <c r="A126" s="32">
        <v>177</v>
      </c>
      <c r="B126" s="32" t="s">
        <v>262</v>
      </c>
      <c r="C126" s="36" t="s">
        <v>476</v>
      </c>
      <c r="D126" s="32" t="s">
        <v>501</v>
      </c>
      <c r="E126" s="33" t="s">
        <v>502</v>
      </c>
      <c r="F126" s="33" t="s">
        <v>503</v>
      </c>
      <c r="G126" s="36" t="s">
        <v>504</v>
      </c>
      <c r="H126" s="32" t="s">
        <v>14</v>
      </c>
    </row>
    <row r="127" spans="1:8" s="34" customFormat="1" ht="185.25" hidden="1" x14ac:dyDescent="0.2">
      <c r="A127" s="32">
        <v>178</v>
      </c>
      <c r="B127" s="32" t="s">
        <v>262</v>
      </c>
      <c r="C127" s="36" t="s">
        <v>476</v>
      </c>
      <c r="D127" s="32" t="s">
        <v>505</v>
      </c>
      <c r="E127" s="33" t="s">
        <v>506</v>
      </c>
      <c r="F127" s="33" t="s">
        <v>507</v>
      </c>
      <c r="G127" s="36" t="s">
        <v>508</v>
      </c>
      <c r="H127" s="32" t="s">
        <v>14</v>
      </c>
    </row>
    <row r="128" spans="1:8" s="34" customFormat="1" ht="128.25" hidden="1" x14ac:dyDescent="0.2">
      <c r="A128" s="32">
        <v>179</v>
      </c>
      <c r="B128" s="32" t="s">
        <v>262</v>
      </c>
      <c r="C128" s="36" t="s">
        <v>476</v>
      </c>
      <c r="D128" s="32" t="s">
        <v>509</v>
      </c>
      <c r="E128" s="33" t="s">
        <v>510</v>
      </c>
      <c r="F128" s="33" t="s">
        <v>511</v>
      </c>
      <c r="G128" s="36" t="s">
        <v>512</v>
      </c>
      <c r="H128" s="32" t="s">
        <v>14</v>
      </c>
    </row>
    <row r="129" spans="1:8" s="34" customFormat="1" ht="128.25" hidden="1" x14ac:dyDescent="0.2">
      <c r="A129" s="32">
        <v>180</v>
      </c>
      <c r="B129" s="32" t="s">
        <v>262</v>
      </c>
      <c r="C129" s="36" t="s">
        <v>476</v>
      </c>
      <c r="D129" s="32" t="s">
        <v>513</v>
      </c>
      <c r="E129" s="33" t="s">
        <v>514</v>
      </c>
      <c r="F129" s="33" t="s">
        <v>515</v>
      </c>
      <c r="G129" s="36" t="s">
        <v>512</v>
      </c>
      <c r="H129" s="32" t="s">
        <v>14</v>
      </c>
    </row>
    <row r="130" spans="1:8" s="34" customFormat="1" ht="85.5" hidden="1" x14ac:dyDescent="0.2">
      <c r="A130" s="32">
        <v>181</v>
      </c>
      <c r="B130" s="32" t="s">
        <v>262</v>
      </c>
      <c r="C130" s="36" t="s">
        <v>476</v>
      </c>
      <c r="D130" s="32" t="s">
        <v>516</v>
      </c>
      <c r="E130" s="33" t="s">
        <v>517</v>
      </c>
      <c r="F130" s="33" t="s">
        <v>518</v>
      </c>
      <c r="G130" s="33" t="s">
        <v>519</v>
      </c>
      <c r="H130" s="32" t="s">
        <v>14</v>
      </c>
    </row>
    <row r="131" spans="1:8" s="34" customFormat="1" ht="156.75" hidden="1" x14ac:dyDescent="0.2">
      <c r="A131" s="32">
        <v>182</v>
      </c>
      <c r="B131" s="32" t="s">
        <v>262</v>
      </c>
      <c r="C131" s="36" t="s">
        <v>476</v>
      </c>
      <c r="D131" s="32" t="s">
        <v>520</v>
      </c>
      <c r="E131" s="33" t="s">
        <v>521</v>
      </c>
      <c r="F131" s="33" t="s">
        <v>522</v>
      </c>
      <c r="G131" s="33" t="s">
        <v>523</v>
      </c>
      <c r="H131" s="32" t="s">
        <v>14</v>
      </c>
    </row>
    <row r="132" spans="1:8" s="34" customFormat="1" ht="171" hidden="1" x14ac:dyDescent="0.2">
      <c r="A132" s="32">
        <v>183</v>
      </c>
      <c r="B132" s="32" t="s">
        <v>262</v>
      </c>
      <c r="C132" s="36" t="s">
        <v>476</v>
      </c>
      <c r="D132" s="32" t="s">
        <v>524</v>
      </c>
      <c r="E132" s="36" t="s">
        <v>525</v>
      </c>
      <c r="F132" s="33" t="s">
        <v>526</v>
      </c>
      <c r="G132" s="36" t="s">
        <v>527</v>
      </c>
      <c r="H132" s="32" t="s">
        <v>14</v>
      </c>
    </row>
    <row r="133" spans="1:8" s="34" customFormat="1" ht="185.25" hidden="1" x14ac:dyDescent="0.2">
      <c r="A133" s="32">
        <v>184</v>
      </c>
      <c r="B133" s="32" t="s">
        <v>262</v>
      </c>
      <c r="C133" s="36" t="s">
        <v>476</v>
      </c>
      <c r="D133" s="32" t="s">
        <v>528</v>
      </c>
      <c r="E133" s="33" t="s">
        <v>529</v>
      </c>
      <c r="F133" s="33" t="s">
        <v>530</v>
      </c>
      <c r="G133" s="36" t="s">
        <v>531</v>
      </c>
      <c r="H133" s="32" t="s">
        <v>14</v>
      </c>
    </row>
    <row r="134" spans="1:8" s="34" customFormat="1" ht="42.75" hidden="1" x14ac:dyDescent="0.2">
      <c r="A134" s="32">
        <v>185</v>
      </c>
      <c r="B134" s="32" t="s">
        <v>262</v>
      </c>
      <c r="C134" s="36" t="s">
        <v>532</v>
      </c>
      <c r="D134" s="32" t="s">
        <v>533</v>
      </c>
      <c r="E134" s="33" t="s">
        <v>534</v>
      </c>
      <c r="F134" s="33" t="s">
        <v>535</v>
      </c>
      <c r="G134" s="36" t="s">
        <v>112</v>
      </c>
      <c r="H134" s="32" t="s">
        <v>14</v>
      </c>
    </row>
    <row r="135" spans="1:8" s="34" customFormat="1" ht="42.75" hidden="1" x14ac:dyDescent="0.2">
      <c r="A135" s="32">
        <v>186</v>
      </c>
      <c r="B135" s="32" t="s">
        <v>262</v>
      </c>
      <c r="C135" s="36" t="s">
        <v>532</v>
      </c>
      <c r="D135" s="32" t="s">
        <v>536</v>
      </c>
      <c r="E135" s="33" t="s">
        <v>537</v>
      </c>
      <c r="F135" s="33" t="s">
        <v>538</v>
      </c>
      <c r="G135" s="36" t="s">
        <v>112</v>
      </c>
      <c r="H135" s="32" t="s">
        <v>14</v>
      </c>
    </row>
    <row r="136" spans="1:8" s="34" customFormat="1" ht="28.5" hidden="1" x14ac:dyDescent="0.2">
      <c r="A136" s="32">
        <v>187</v>
      </c>
      <c r="B136" s="32" t="s">
        <v>262</v>
      </c>
      <c r="C136" s="36" t="s">
        <v>532</v>
      </c>
      <c r="D136" s="32" t="s">
        <v>539</v>
      </c>
      <c r="E136" s="33" t="s">
        <v>540</v>
      </c>
      <c r="F136" s="33" t="s">
        <v>541</v>
      </c>
      <c r="G136" s="36" t="s">
        <v>112</v>
      </c>
      <c r="H136" s="32" t="s">
        <v>14</v>
      </c>
    </row>
    <row r="137" spans="1:8" s="34" customFormat="1" ht="28.5" hidden="1" x14ac:dyDescent="0.2">
      <c r="A137" s="32">
        <v>188</v>
      </c>
      <c r="B137" s="32" t="s">
        <v>262</v>
      </c>
      <c r="C137" s="36" t="s">
        <v>532</v>
      </c>
      <c r="D137" s="32" t="s">
        <v>542</v>
      </c>
      <c r="E137" s="33" t="s">
        <v>543</v>
      </c>
      <c r="F137" s="33" t="s">
        <v>544</v>
      </c>
      <c r="G137" s="36" t="s">
        <v>112</v>
      </c>
      <c r="H137" s="32" t="s">
        <v>14</v>
      </c>
    </row>
    <row r="138" spans="1:8" s="34" customFormat="1" ht="85.5" hidden="1" x14ac:dyDescent="0.2">
      <c r="A138" s="32">
        <v>189</v>
      </c>
      <c r="B138" s="32" t="s">
        <v>262</v>
      </c>
      <c r="C138" s="36" t="s">
        <v>532</v>
      </c>
      <c r="D138" s="32" t="s">
        <v>545</v>
      </c>
      <c r="E138" s="33" t="s">
        <v>546</v>
      </c>
      <c r="F138" s="33" t="s">
        <v>547</v>
      </c>
      <c r="G138" s="33" t="s">
        <v>548</v>
      </c>
      <c r="H138" s="32" t="s">
        <v>14</v>
      </c>
    </row>
    <row r="139" spans="1:8" s="34" customFormat="1" ht="42.75" hidden="1" x14ac:dyDescent="0.2">
      <c r="A139" s="32">
        <v>192</v>
      </c>
      <c r="B139" s="32" t="s">
        <v>262</v>
      </c>
      <c r="C139" s="36" t="s">
        <v>549</v>
      </c>
      <c r="D139" s="32" t="s">
        <v>550</v>
      </c>
      <c r="E139" s="33" t="s">
        <v>551</v>
      </c>
      <c r="F139" s="33" t="s">
        <v>552</v>
      </c>
      <c r="G139" s="33" t="s">
        <v>553</v>
      </c>
      <c r="H139" s="32" t="s">
        <v>14</v>
      </c>
    </row>
    <row r="140" spans="1:8" s="34" customFormat="1" ht="42.75" hidden="1" x14ac:dyDescent="0.2">
      <c r="A140" s="32">
        <v>193</v>
      </c>
      <c r="B140" s="32" t="s">
        <v>262</v>
      </c>
      <c r="C140" s="36" t="s">
        <v>549</v>
      </c>
      <c r="D140" s="32" t="s">
        <v>554</v>
      </c>
      <c r="E140" s="33" t="s">
        <v>555</v>
      </c>
      <c r="F140" s="33" t="s">
        <v>556</v>
      </c>
      <c r="G140" s="33" t="s">
        <v>557</v>
      </c>
      <c r="H140" s="32" t="s">
        <v>14</v>
      </c>
    </row>
    <row r="141" spans="1:8" s="34" customFormat="1" ht="57" hidden="1" x14ac:dyDescent="0.2">
      <c r="A141" s="32">
        <v>194</v>
      </c>
      <c r="B141" s="32" t="s">
        <v>262</v>
      </c>
      <c r="C141" s="36" t="s">
        <v>549</v>
      </c>
      <c r="D141" s="32" t="s">
        <v>558</v>
      </c>
      <c r="E141" s="33" t="s">
        <v>559</v>
      </c>
      <c r="F141" s="33" t="s">
        <v>560</v>
      </c>
      <c r="G141" s="33" t="s">
        <v>561</v>
      </c>
      <c r="H141" s="32" t="s">
        <v>14</v>
      </c>
    </row>
    <row r="142" spans="1:8" s="34" customFormat="1" ht="99.75" hidden="1" x14ac:dyDescent="0.2">
      <c r="A142" s="32">
        <v>195</v>
      </c>
      <c r="B142" s="32" t="s">
        <v>262</v>
      </c>
      <c r="C142" s="36" t="s">
        <v>549</v>
      </c>
      <c r="D142" s="32" t="s">
        <v>562</v>
      </c>
      <c r="E142" s="33" t="s">
        <v>563</v>
      </c>
      <c r="F142" s="33" t="s">
        <v>564</v>
      </c>
      <c r="G142" s="33" t="s">
        <v>565</v>
      </c>
      <c r="H142" s="32" t="s">
        <v>14</v>
      </c>
    </row>
    <row r="143" spans="1:8" s="34" customFormat="1" ht="71.25" hidden="1" x14ac:dyDescent="0.2">
      <c r="A143" s="32">
        <v>198</v>
      </c>
      <c r="B143" s="32" t="s">
        <v>262</v>
      </c>
      <c r="C143" s="36" t="s">
        <v>566</v>
      </c>
      <c r="D143" s="32" t="s">
        <v>567</v>
      </c>
      <c r="E143" s="33" t="s">
        <v>551</v>
      </c>
      <c r="F143" s="33" t="s">
        <v>568</v>
      </c>
      <c r="G143" s="33" t="s">
        <v>569</v>
      </c>
      <c r="H143" s="32" t="s">
        <v>14</v>
      </c>
    </row>
    <row r="144" spans="1:8" s="34" customFormat="1" ht="99.75" hidden="1" x14ac:dyDescent="0.2">
      <c r="A144" s="32">
        <v>199</v>
      </c>
      <c r="B144" s="32" t="s">
        <v>262</v>
      </c>
      <c r="C144" s="36" t="s">
        <v>566</v>
      </c>
      <c r="D144" s="32" t="s">
        <v>570</v>
      </c>
      <c r="E144" s="33" t="s">
        <v>571</v>
      </c>
      <c r="F144" s="33" t="s">
        <v>572</v>
      </c>
      <c r="G144" s="33" t="s">
        <v>573</v>
      </c>
      <c r="H144" s="32" t="s">
        <v>14</v>
      </c>
    </row>
    <row r="145" spans="1:8" s="34" customFormat="1" ht="85.5" hidden="1" x14ac:dyDescent="0.2">
      <c r="A145" s="32">
        <v>200</v>
      </c>
      <c r="B145" s="32" t="s">
        <v>262</v>
      </c>
      <c r="C145" s="36" t="s">
        <v>566</v>
      </c>
      <c r="D145" s="32" t="s">
        <v>574</v>
      </c>
      <c r="E145" s="33" t="s">
        <v>575</v>
      </c>
      <c r="F145" s="33" t="s">
        <v>576</v>
      </c>
      <c r="G145" s="33" t="s">
        <v>577</v>
      </c>
      <c r="H145" s="32" t="s">
        <v>14</v>
      </c>
    </row>
    <row r="146" spans="1:8" s="34" customFormat="1" ht="85.5" hidden="1" x14ac:dyDescent="0.2">
      <c r="A146" s="32">
        <v>201</v>
      </c>
      <c r="B146" s="32" t="s">
        <v>262</v>
      </c>
      <c r="C146" s="36" t="s">
        <v>578</v>
      </c>
      <c r="D146" s="32" t="s">
        <v>579</v>
      </c>
      <c r="E146" s="33" t="s">
        <v>580</v>
      </c>
      <c r="F146" s="33" t="s">
        <v>581</v>
      </c>
      <c r="G146" s="33" t="s">
        <v>582</v>
      </c>
      <c r="H146" s="32" t="s">
        <v>14</v>
      </c>
    </row>
    <row r="147" spans="1:8" s="34" customFormat="1" ht="114" hidden="1" x14ac:dyDescent="0.2">
      <c r="A147" s="32">
        <v>202</v>
      </c>
      <c r="B147" s="32" t="s">
        <v>262</v>
      </c>
      <c r="C147" s="36" t="s">
        <v>578</v>
      </c>
      <c r="D147" s="32" t="s">
        <v>583</v>
      </c>
      <c r="E147" s="33" t="s">
        <v>584</v>
      </c>
      <c r="F147" s="33" t="s">
        <v>585</v>
      </c>
      <c r="G147" s="36" t="s">
        <v>586</v>
      </c>
      <c r="H147" s="32" t="s">
        <v>14</v>
      </c>
    </row>
    <row r="148" spans="1:8" s="34" customFormat="1" ht="71.25" hidden="1" x14ac:dyDescent="0.2">
      <c r="A148" s="32">
        <v>203</v>
      </c>
      <c r="B148" s="32" t="s">
        <v>262</v>
      </c>
      <c r="C148" s="36" t="s">
        <v>578</v>
      </c>
      <c r="D148" s="32" t="s">
        <v>587</v>
      </c>
      <c r="E148" s="33" t="s">
        <v>588</v>
      </c>
      <c r="F148" s="33" t="s">
        <v>589</v>
      </c>
      <c r="G148" s="33" t="s">
        <v>590</v>
      </c>
      <c r="H148" s="32" t="s">
        <v>14</v>
      </c>
    </row>
    <row r="149" spans="1:8" s="34" customFormat="1" ht="42.75" hidden="1" x14ac:dyDescent="0.2">
      <c r="A149" s="32">
        <v>205</v>
      </c>
      <c r="B149" s="32" t="s">
        <v>262</v>
      </c>
      <c r="C149" s="36" t="s">
        <v>591</v>
      </c>
      <c r="D149" s="32" t="s">
        <v>592</v>
      </c>
      <c r="E149" s="33" t="s">
        <v>593</v>
      </c>
      <c r="F149" s="33" t="s">
        <v>594</v>
      </c>
      <c r="G149" s="33" t="s">
        <v>112</v>
      </c>
      <c r="H149" s="32" t="s">
        <v>14</v>
      </c>
    </row>
    <row r="150" spans="1:8" s="34" customFormat="1" ht="28.5" hidden="1" x14ac:dyDescent="0.2">
      <c r="A150" s="32">
        <v>206</v>
      </c>
      <c r="B150" s="32" t="s">
        <v>262</v>
      </c>
      <c r="C150" s="36" t="s">
        <v>591</v>
      </c>
      <c r="D150" s="32" t="s">
        <v>595</v>
      </c>
      <c r="E150" s="33" t="s">
        <v>596</v>
      </c>
      <c r="F150" s="33" t="s">
        <v>597</v>
      </c>
      <c r="G150" s="33" t="s">
        <v>112</v>
      </c>
      <c r="H150" s="32" t="s">
        <v>14</v>
      </c>
    </row>
    <row r="151" spans="1:8" s="34" customFormat="1" ht="28.5" hidden="1" x14ac:dyDescent="0.2">
      <c r="A151" s="32">
        <v>207</v>
      </c>
      <c r="B151" s="32" t="s">
        <v>262</v>
      </c>
      <c r="C151" s="36" t="s">
        <v>591</v>
      </c>
      <c r="D151" s="32" t="s">
        <v>598</v>
      </c>
      <c r="E151" s="33" t="s">
        <v>599</v>
      </c>
      <c r="F151" s="33" t="s">
        <v>600</v>
      </c>
      <c r="G151" s="33" t="s">
        <v>112</v>
      </c>
      <c r="H151" s="32" t="s">
        <v>14</v>
      </c>
    </row>
    <row r="152" spans="1:8" s="34" customFormat="1" ht="42.75" hidden="1" x14ac:dyDescent="0.2">
      <c r="A152" s="32">
        <v>208</v>
      </c>
      <c r="B152" s="32" t="s">
        <v>262</v>
      </c>
      <c r="C152" s="36" t="s">
        <v>591</v>
      </c>
      <c r="D152" s="32" t="s">
        <v>601</v>
      </c>
      <c r="E152" s="33" t="s">
        <v>602</v>
      </c>
      <c r="F152" s="33" t="s">
        <v>603</v>
      </c>
      <c r="G152" s="33" t="s">
        <v>112</v>
      </c>
      <c r="H152" s="32" t="s">
        <v>14</v>
      </c>
    </row>
    <row r="153" spans="1:8" s="34" customFormat="1" ht="42.75" hidden="1" x14ac:dyDescent="0.2">
      <c r="A153" s="32">
        <v>209</v>
      </c>
      <c r="B153" s="32" t="s">
        <v>262</v>
      </c>
      <c r="C153" s="36" t="s">
        <v>591</v>
      </c>
      <c r="D153" s="32" t="s">
        <v>604</v>
      </c>
      <c r="E153" s="33" t="s">
        <v>605</v>
      </c>
      <c r="F153" s="33" t="s">
        <v>606</v>
      </c>
      <c r="G153" s="33" t="s">
        <v>112</v>
      </c>
      <c r="H153" s="32" t="s">
        <v>14</v>
      </c>
    </row>
    <row r="154" spans="1:8" s="34" customFormat="1" ht="42.75" hidden="1" x14ac:dyDescent="0.2">
      <c r="A154" s="32">
        <v>210</v>
      </c>
      <c r="B154" s="32" t="s">
        <v>262</v>
      </c>
      <c r="C154" s="36" t="s">
        <v>591</v>
      </c>
      <c r="D154" s="32" t="s">
        <v>607</v>
      </c>
      <c r="E154" s="33" t="s">
        <v>608</v>
      </c>
      <c r="F154" s="33" t="s">
        <v>609</v>
      </c>
      <c r="G154" s="33" t="s">
        <v>112</v>
      </c>
      <c r="H154" s="32" t="s">
        <v>14</v>
      </c>
    </row>
    <row r="155" spans="1:8" s="34" customFormat="1" ht="42.75" hidden="1" x14ac:dyDescent="0.2">
      <c r="A155" s="32">
        <v>211</v>
      </c>
      <c r="B155" s="32" t="s">
        <v>262</v>
      </c>
      <c r="C155" s="36" t="s">
        <v>591</v>
      </c>
      <c r="D155" s="32" t="s">
        <v>610</v>
      </c>
      <c r="E155" s="33" t="s">
        <v>611</v>
      </c>
      <c r="F155" s="33" t="s">
        <v>612</v>
      </c>
      <c r="G155" s="33" t="s">
        <v>112</v>
      </c>
      <c r="H155" s="32" t="s">
        <v>14</v>
      </c>
    </row>
    <row r="156" spans="1:8" s="34" customFormat="1" ht="42.75" hidden="1" x14ac:dyDescent="0.2">
      <c r="A156" s="32">
        <v>212</v>
      </c>
      <c r="B156" s="32" t="s">
        <v>262</v>
      </c>
      <c r="C156" s="36" t="s">
        <v>591</v>
      </c>
      <c r="D156" s="32" t="s">
        <v>613</v>
      </c>
      <c r="E156" s="33" t="s">
        <v>614</v>
      </c>
      <c r="F156" s="33" t="s">
        <v>615</v>
      </c>
      <c r="G156" s="33" t="s">
        <v>112</v>
      </c>
      <c r="H156" s="32" t="s">
        <v>14</v>
      </c>
    </row>
    <row r="157" spans="1:8" s="34" customFormat="1" ht="42.75" hidden="1" x14ac:dyDescent="0.2">
      <c r="A157" s="32">
        <v>213</v>
      </c>
      <c r="B157" s="32" t="s">
        <v>262</v>
      </c>
      <c r="C157" s="36" t="s">
        <v>591</v>
      </c>
      <c r="D157" s="32" t="s">
        <v>616</v>
      </c>
      <c r="E157" s="33" t="s">
        <v>617</v>
      </c>
      <c r="F157" s="33" t="s">
        <v>618</v>
      </c>
      <c r="G157" s="33" t="s">
        <v>112</v>
      </c>
      <c r="H157" s="32" t="s">
        <v>14</v>
      </c>
    </row>
    <row r="158" spans="1:8" s="34" customFormat="1" ht="42.75" hidden="1" x14ac:dyDescent="0.2">
      <c r="A158" s="32">
        <v>214</v>
      </c>
      <c r="B158" s="32" t="s">
        <v>262</v>
      </c>
      <c r="C158" s="36" t="s">
        <v>591</v>
      </c>
      <c r="D158" s="32" t="s">
        <v>619</v>
      </c>
      <c r="E158" s="33" t="s">
        <v>620</v>
      </c>
      <c r="F158" s="33" t="s">
        <v>621</v>
      </c>
      <c r="G158" s="33" t="s">
        <v>112</v>
      </c>
      <c r="H158" s="32" t="s">
        <v>14</v>
      </c>
    </row>
    <row r="159" spans="1:8" s="34" customFormat="1" ht="42.75" hidden="1" x14ac:dyDescent="0.2">
      <c r="A159" s="32">
        <v>215</v>
      </c>
      <c r="B159" s="32" t="s">
        <v>262</v>
      </c>
      <c r="C159" s="36" t="s">
        <v>591</v>
      </c>
      <c r="D159" s="32" t="s">
        <v>622</v>
      </c>
      <c r="E159" s="33" t="s">
        <v>623</v>
      </c>
      <c r="F159" s="33" t="s">
        <v>624</v>
      </c>
      <c r="G159" s="33" t="s">
        <v>112</v>
      </c>
      <c r="H159" s="32" t="s">
        <v>14</v>
      </c>
    </row>
    <row r="160" spans="1:8" s="34" customFormat="1" ht="71.25" hidden="1" x14ac:dyDescent="0.2">
      <c r="A160" s="32">
        <v>216</v>
      </c>
      <c r="B160" s="32" t="s">
        <v>262</v>
      </c>
      <c r="C160" s="36" t="s">
        <v>591</v>
      </c>
      <c r="D160" s="32" t="s">
        <v>625</v>
      </c>
      <c r="E160" s="33" t="s">
        <v>626</v>
      </c>
      <c r="F160" s="33" t="s">
        <v>627</v>
      </c>
      <c r="G160" s="33" t="s">
        <v>628</v>
      </c>
      <c r="H160" s="32" t="s">
        <v>14</v>
      </c>
    </row>
    <row r="161" spans="1:8" s="34" customFormat="1" ht="71.25" hidden="1" x14ac:dyDescent="0.2">
      <c r="A161" s="32">
        <v>217</v>
      </c>
      <c r="B161" s="32" t="s">
        <v>262</v>
      </c>
      <c r="C161" s="36" t="s">
        <v>591</v>
      </c>
      <c r="D161" s="32" t="s">
        <v>629</v>
      </c>
      <c r="E161" s="33" t="s">
        <v>630</v>
      </c>
      <c r="F161" s="33" t="s">
        <v>631</v>
      </c>
      <c r="G161" s="33" t="s">
        <v>632</v>
      </c>
      <c r="H161" s="32" t="s">
        <v>14</v>
      </c>
    </row>
    <row r="162" spans="1:8" s="34" customFormat="1" ht="28.5" hidden="1" x14ac:dyDescent="0.2">
      <c r="A162" s="32">
        <v>218</v>
      </c>
      <c r="B162" s="32" t="s">
        <v>262</v>
      </c>
      <c r="C162" s="36" t="s">
        <v>591</v>
      </c>
      <c r="D162" s="32" t="s">
        <v>633</v>
      </c>
      <c r="E162" s="33" t="s">
        <v>634</v>
      </c>
      <c r="F162" s="33" t="s">
        <v>635</v>
      </c>
      <c r="G162" s="33" t="s">
        <v>112</v>
      </c>
      <c r="H162" s="32" t="s">
        <v>14</v>
      </c>
    </row>
    <row r="163" spans="1:8" s="34" customFormat="1" ht="57" hidden="1" x14ac:dyDescent="0.2">
      <c r="A163" s="32">
        <v>219</v>
      </c>
      <c r="B163" s="32" t="s">
        <v>262</v>
      </c>
      <c r="C163" s="36" t="s">
        <v>591</v>
      </c>
      <c r="D163" s="32" t="s">
        <v>636</v>
      </c>
      <c r="E163" s="33" t="s">
        <v>637</v>
      </c>
      <c r="F163" s="33" t="s">
        <v>638</v>
      </c>
      <c r="G163" s="33" t="s">
        <v>112</v>
      </c>
      <c r="H163" s="32" t="s">
        <v>14</v>
      </c>
    </row>
    <row r="164" spans="1:8" s="34" customFormat="1" ht="42.75" hidden="1" x14ac:dyDescent="0.2">
      <c r="A164" s="32">
        <v>220</v>
      </c>
      <c r="B164" s="32" t="s">
        <v>262</v>
      </c>
      <c r="C164" s="36" t="s">
        <v>591</v>
      </c>
      <c r="D164" s="32" t="s">
        <v>639</v>
      </c>
      <c r="E164" s="33" t="s">
        <v>640</v>
      </c>
      <c r="F164" s="33" t="s">
        <v>641</v>
      </c>
      <c r="G164" s="33" t="s">
        <v>112</v>
      </c>
      <c r="H164" s="32" t="s">
        <v>14</v>
      </c>
    </row>
    <row r="165" spans="1:8" s="34" customFormat="1" ht="42.75" hidden="1" x14ac:dyDescent="0.2">
      <c r="A165" s="32">
        <v>221</v>
      </c>
      <c r="B165" s="32" t="s">
        <v>262</v>
      </c>
      <c r="C165" s="36" t="s">
        <v>591</v>
      </c>
      <c r="D165" s="32" t="s">
        <v>642</v>
      </c>
      <c r="E165" s="33" t="s">
        <v>643</v>
      </c>
      <c r="F165" s="33" t="s">
        <v>644</v>
      </c>
      <c r="G165" s="33" t="s">
        <v>112</v>
      </c>
      <c r="H165" s="32" t="s">
        <v>14</v>
      </c>
    </row>
    <row r="166" spans="1:8" s="34" customFormat="1" ht="42.75" hidden="1" x14ac:dyDescent="0.2">
      <c r="A166" s="32">
        <v>222</v>
      </c>
      <c r="B166" s="32" t="s">
        <v>262</v>
      </c>
      <c r="C166" s="36" t="s">
        <v>591</v>
      </c>
      <c r="D166" s="32" t="s">
        <v>645</v>
      </c>
      <c r="E166" s="33" t="s">
        <v>646</v>
      </c>
      <c r="F166" s="33" t="s">
        <v>647</v>
      </c>
      <c r="G166" s="33" t="s">
        <v>112</v>
      </c>
      <c r="H166" s="32" t="s">
        <v>14</v>
      </c>
    </row>
    <row r="167" spans="1:8" s="34" customFormat="1" ht="42.75" hidden="1" x14ac:dyDescent="0.2">
      <c r="A167" s="32">
        <v>223</v>
      </c>
      <c r="B167" s="32" t="s">
        <v>262</v>
      </c>
      <c r="C167" s="36" t="s">
        <v>591</v>
      </c>
      <c r="D167" s="32" t="s">
        <v>648</v>
      </c>
      <c r="E167" s="33" t="s">
        <v>649</v>
      </c>
      <c r="F167" s="33" t="s">
        <v>650</v>
      </c>
      <c r="G167" s="33" t="s">
        <v>112</v>
      </c>
      <c r="H167" s="32" t="s">
        <v>14</v>
      </c>
    </row>
    <row r="168" spans="1:8" s="34" customFormat="1" ht="42.75" hidden="1" x14ac:dyDescent="0.2">
      <c r="A168" s="32">
        <v>224</v>
      </c>
      <c r="B168" s="32" t="s">
        <v>262</v>
      </c>
      <c r="C168" s="36" t="s">
        <v>591</v>
      </c>
      <c r="D168" s="32" t="s">
        <v>651</v>
      </c>
      <c r="E168" s="33" t="s">
        <v>652</v>
      </c>
      <c r="F168" s="33" t="s">
        <v>653</v>
      </c>
      <c r="G168" s="33" t="s">
        <v>112</v>
      </c>
      <c r="H168" s="32" t="s">
        <v>14</v>
      </c>
    </row>
    <row r="169" spans="1:8" s="34" customFormat="1" ht="42.75" hidden="1" x14ac:dyDescent="0.2">
      <c r="A169" s="32">
        <v>225</v>
      </c>
      <c r="B169" s="32" t="s">
        <v>262</v>
      </c>
      <c r="C169" s="36" t="s">
        <v>591</v>
      </c>
      <c r="D169" s="32" t="s">
        <v>654</v>
      </c>
      <c r="E169" s="33" t="s">
        <v>655</v>
      </c>
      <c r="F169" s="33" t="s">
        <v>656</v>
      </c>
      <c r="G169" s="33" t="s">
        <v>112</v>
      </c>
      <c r="H169" s="32" t="s">
        <v>14</v>
      </c>
    </row>
    <row r="170" spans="1:8" s="34" customFormat="1" ht="28.5" hidden="1" x14ac:dyDescent="0.2">
      <c r="A170" s="32">
        <v>226</v>
      </c>
      <c r="B170" s="32" t="s">
        <v>262</v>
      </c>
      <c r="C170" s="36" t="s">
        <v>591</v>
      </c>
      <c r="D170" s="32" t="s">
        <v>657</v>
      </c>
      <c r="E170" s="33" t="s">
        <v>658</v>
      </c>
      <c r="F170" s="33" t="s">
        <v>659</v>
      </c>
      <c r="G170" s="33" t="s">
        <v>112</v>
      </c>
      <c r="H170" s="32" t="s">
        <v>14</v>
      </c>
    </row>
    <row r="171" spans="1:8" s="34" customFormat="1" ht="28.5" hidden="1" x14ac:dyDescent="0.2">
      <c r="A171" s="32">
        <v>227</v>
      </c>
      <c r="B171" s="32" t="s">
        <v>262</v>
      </c>
      <c r="C171" s="36" t="s">
        <v>591</v>
      </c>
      <c r="D171" s="32" t="s">
        <v>660</v>
      </c>
      <c r="E171" s="33" t="s">
        <v>661</v>
      </c>
      <c r="F171" s="33" t="s">
        <v>662</v>
      </c>
      <c r="G171" s="33" t="s">
        <v>112</v>
      </c>
      <c r="H171" s="32" t="s">
        <v>14</v>
      </c>
    </row>
    <row r="172" spans="1:8" s="34" customFormat="1" ht="42.75" hidden="1" x14ac:dyDescent="0.2">
      <c r="A172" s="32">
        <v>228</v>
      </c>
      <c r="B172" s="32" t="s">
        <v>262</v>
      </c>
      <c r="C172" s="36" t="s">
        <v>591</v>
      </c>
      <c r="D172" s="32" t="s">
        <v>663</v>
      </c>
      <c r="E172" s="33" t="s">
        <v>664</v>
      </c>
      <c r="F172" s="33" t="s">
        <v>665</v>
      </c>
      <c r="G172" s="33" t="s">
        <v>112</v>
      </c>
      <c r="H172" s="32" t="s">
        <v>14</v>
      </c>
    </row>
    <row r="173" spans="1:8" s="34" customFormat="1" ht="28.5" hidden="1" x14ac:dyDescent="0.2">
      <c r="A173" s="32">
        <v>229</v>
      </c>
      <c r="B173" s="32" t="s">
        <v>262</v>
      </c>
      <c r="C173" s="36" t="s">
        <v>591</v>
      </c>
      <c r="D173" s="32" t="s">
        <v>666</v>
      </c>
      <c r="E173" s="33" t="s">
        <v>667</v>
      </c>
      <c r="F173" s="33" t="s">
        <v>668</v>
      </c>
      <c r="G173" s="33" t="s">
        <v>112</v>
      </c>
      <c r="H173" s="32" t="s">
        <v>14</v>
      </c>
    </row>
    <row r="174" spans="1:8" s="34" customFormat="1" ht="57" hidden="1" x14ac:dyDescent="0.2">
      <c r="A174" s="32">
        <v>230</v>
      </c>
      <c r="B174" s="32" t="s">
        <v>262</v>
      </c>
      <c r="C174" s="36" t="s">
        <v>669</v>
      </c>
      <c r="D174" s="32" t="s">
        <v>670</v>
      </c>
      <c r="E174" s="33" t="s">
        <v>671</v>
      </c>
      <c r="F174" s="33" t="s">
        <v>672</v>
      </c>
      <c r="G174" s="36" t="s">
        <v>673</v>
      </c>
      <c r="H174" s="32" t="s">
        <v>14</v>
      </c>
    </row>
    <row r="175" spans="1:8" s="34" customFormat="1" ht="42.75" hidden="1" x14ac:dyDescent="0.2">
      <c r="A175" s="32">
        <v>231</v>
      </c>
      <c r="B175" s="32" t="s">
        <v>262</v>
      </c>
      <c r="C175" s="36" t="s">
        <v>669</v>
      </c>
      <c r="D175" s="32" t="s">
        <v>674</v>
      </c>
      <c r="E175" s="33" t="s">
        <v>675</v>
      </c>
      <c r="F175" s="33" t="s">
        <v>676</v>
      </c>
      <c r="G175" s="36" t="s">
        <v>112</v>
      </c>
      <c r="H175" s="32" t="s">
        <v>14</v>
      </c>
    </row>
    <row r="176" spans="1:8" s="34" customFormat="1" ht="42.75" hidden="1" x14ac:dyDescent="0.2">
      <c r="A176" s="32">
        <v>232</v>
      </c>
      <c r="B176" s="32" t="s">
        <v>262</v>
      </c>
      <c r="C176" s="36" t="s">
        <v>669</v>
      </c>
      <c r="D176" s="32" t="s">
        <v>677</v>
      </c>
      <c r="E176" s="33" t="s">
        <v>678</v>
      </c>
      <c r="F176" s="33" t="s">
        <v>679</v>
      </c>
      <c r="G176" s="36" t="s">
        <v>680</v>
      </c>
      <c r="H176" s="32" t="s">
        <v>14</v>
      </c>
    </row>
    <row r="177" spans="1:8" s="34" customFormat="1" ht="42.75" hidden="1" x14ac:dyDescent="0.2">
      <c r="A177" s="32">
        <v>233</v>
      </c>
      <c r="B177" s="32" t="s">
        <v>262</v>
      </c>
      <c r="C177" s="36" t="s">
        <v>669</v>
      </c>
      <c r="D177" s="32" t="s">
        <v>681</v>
      </c>
      <c r="E177" s="33" t="s">
        <v>682</v>
      </c>
      <c r="F177" s="33" t="s">
        <v>683</v>
      </c>
      <c r="G177" s="33" t="s">
        <v>684</v>
      </c>
      <c r="H177" s="32" t="s">
        <v>14</v>
      </c>
    </row>
    <row r="178" spans="1:8" s="34" customFormat="1" ht="42.75" hidden="1" x14ac:dyDescent="0.2">
      <c r="A178" s="32">
        <v>234</v>
      </c>
      <c r="B178" s="32" t="s">
        <v>262</v>
      </c>
      <c r="C178" s="36" t="s">
        <v>669</v>
      </c>
      <c r="D178" s="32" t="s">
        <v>685</v>
      </c>
      <c r="E178" s="33" t="s">
        <v>686</v>
      </c>
      <c r="F178" s="33" t="s">
        <v>687</v>
      </c>
      <c r="G178" s="33" t="s">
        <v>688</v>
      </c>
      <c r="H178" s="32" t="s">
        <v>14</v>
      </c>
    </row>
    <row r="179" spans="1:8" s="34" customFormat="1" ht="57" hidden="1" x14ac:dyDescent="0.2">
      <c r="A179" s="32">
        <v>235</v>
      </c>
      <c r="B179" s="32" t="s">
        <v>262</v>
      </c>
      <c r="C179" s="36" t="s">
        <v>669</v>
      </c>
      <c r="D179" s="32" t="s">
        <v>689</v>
      </c>
      <c r="E179" s="33" t="s">
        <v>690</v>
      </c>
      <c r="F179" s="33" t="s">
        <v>691</v>
      </c>
      <c r="G179" s="33" t="s">
        <v>692</v>
      </c>
      <c r="H179" s="32" t="s">
        <v>14</v>
      </c>
    </row>
    <row r="180" spans="1:8" s="34" customFormat="1" ht="57" hidden="1" x14ac:dyDescent="0.2">
      <c r="A180" s="32">
        <v>236</v>
      </c>
      <c r="B180" s="32" t="s">
        <v>262</v>
      </c>
      <c r="C180" s="36" t="s">
        <v>669</v>
      </c>
      <c r="D180" s="32" t="s">
        <v>693</v>
      </c>
      <c r="E180" s="33" t="s">
        <v>694</v>
      </c>
      <c r="F180" s="33" t="s">
        <v>695</v>
      </c>
      <c r="G180" s="33" t="s">
        <v>696</v>
      </c>
      <c r="H180" s="32" t="s">
        <v>14</v>
      </c>
    </row>
    <row r="181" spans="1:8" s="34" customFormat="1" ht="28.5" hidden="1" x14ac:dyDescent="0.2">
      <c r="A181" s="32">
        <v>237</v>
      </c>
      <c r="B181" s="32" t="s">
        <v>262</v>
      </c>
      <c r="C181" s="36" t="s">
        <v>669</v>
      </c>
      <c r="D181" s="32" t="s">
        <v>697</v>
      </c>
      <c r="E181" s="33" t="s">
        <v>698</v>
      </c>
      <c r="F181" s="33" t="s">
        <v>699</v>
      </c>
      <c r="G181" s="36" t="s">
        <v>112</v>
      </c>
      <c r="H181" s="32" t="s">
        <v>14</v>
      </c>
    </row>
    <row r="182" spans="1:8" s="34" customFormat="1" ht="42.75" hidden="1" x14ac:dyDescent="0.2">
      <c r="A182" s="32">
        <v>238</v>
      </c>
      <c r="B182" s="32" t="s">
        <v>262</v>
      </c>
      <c r="C182" s="36" t="s">
        <v>669</v>
      </c>
      <c r="D182" s="32" t="s">
        <v>700</v>
      </c>
      <c r="E182" s="33" t="s">
        <v>701</v>
      </c>
      <c r="F182" s="33" t="s">
        <v>702</v>
      </c>
      <c r="G182" s="36" t="s">
        <v>703</v>
      </c>
      <c r="H182" s="32" t="s">
        <v>14</v>
      </c>
    </row>
    <row r="183" spans="1:8" s="34" customFormat="1" ht="28.5" hidden="1" x14ac:dyDescent="0.2">
      <c r="A183" s="32">
        <v>239</v>
      </c>
      <c r="B183" s="32" t="s">
        <v>262</v>
      </c>
      <c r="C183" s="36" t="s">
        <v>669</v>
      </c>
      <c r="D183" s="32" t="s">
        <v>704</v>
      </c>
      <c r="E183" s="33" t="s">
        <v>705</v>
      </c>
      <c r="F183" s="33" t="s">
        <v>706</v>
      </c>
      <c r="G183" s="33" t="s">
        <v>112</v>
      </c>
      <c r="H183" s="32" t="s">
        <v>14</v>
      </c>
    </row>
    <row r="184" spans="1:8" s="34" customFormat="1" ht="42.75" hidden="1" x14ac:dyDescent="0.2">
      <c r="A184" s="32">
        <v>240</v>
      </c>
      <c r="B184" s="32" t="s">
        <v>262</v>
      </c>
      <c r="C184" s="36" t="s">
        <v>669</v>
      </c>
      <c r="D184" s="32" t="s">
        <v>707</v>
      </c>
      <c r="E184" s="33" t="s">
        <v>708</v>
      </c>
      <c r="F184" s="33" t="s">
        <v>709</v>
      </c>
      <c r="G184" s="33" t="s">
        <v>112</v>
      </c>
      <c r="H184" s="32" t="s">
        <v>14</v>
      </c>
    </row>
    <row r="185" spans="1:8" s="34" customFormat="1" ht="42.75" hidden="1" x14ac:dyDescent="0.2">
      <c r="A185" s="32">
        <v>241</v>
      </c>
      <c r="B185" s="32" t="s">
        <v>262</v>
      </c>
      <c r="C185" s="36" t="s">
        <v>669</v>
      </c>
      <c r="D185" s="32" t="s">
        <v>710</v>
      </c>
      <c r="E185" s="36" t="s">
        <v>711</v>
      </c>
      <c r="F185" s="33" t="s">
        <v>712</v>
      </c>
      <c r="G185" s="33" t="s">
        <v>112</v>
      </c>
      <c r="H185" s="32" t="s">
        <v>14</v>
      </c>
    </row>
    <row r="186" spans="1:8" s="34" customFormat="1" ht="57" hidden="1" x14ac:dyDescent="0.2">
      <c r="A186" s="32">
        <v>242</v>
      </c>
      <c r="B186" s="32" t="s">
        <v>262</v>
      </c>
      <c r="C186" s="36" t="s">
        <v>669</v>
      </c>
      <c r="D186" s="32" t="s">
        <v>713</v>
      </c>
      <c r="E186" s="33" t="s">
        <v>714</v>
      </c>
      <c r="F186" s="33" t="s">
        <v>715</v>
      </c>
      <c r="G186" s="33" t="s">
        <v>112</v>
      </c>
      <c r="H186" s="32" t="s">
        <v>14</v>
      </c>
    </row>
    <row r="187" spans="1:8" s="34" customFormat="1" ht="313.5" hidden="1" x14ac:dyDescent="0.2">
      <c r="A187" s="32">
        <v>243</v>
      </c>
      <c r="B187" s="32" t="s">
        <v>262</v>
      </c>
      <c r="C187" s="36" t="s">
        <v>716</v>
      </c>
      <c r="D187" s="32" t="s">
        <v>717</v>
      </c>
      <c r="E187" s="33" t="s">
        <v>718</v>
      </c>
      <c r="F187" s="33" t="s">
        <v>719</v>
      </c>
      <c r="G187" s="33" t="s">
        <v>720</v>
      </c>
      <c r="H187" s="32" t="s">
        <v>14</v>
      </c>
    </row>
    <row r="188" spans="1:8" s="34" customFormat="1" ht="313.5" hidden="1" x14ac:dyDescent="0.2">
      <c r="A188" s="32">
        <v>244</v>
      </c>
      <c r="B188" s="32" t="s">
        <v>262</v>
      </c>
      <c r="C188" s="36" t="s">
        <v>716</v>
      </c>
      <c r="D188" s="32" t="s">
        <v>721</v>
      </c>
      <c r="E188" s="33" t="s">
        <v>722</v>
      </c>
      <c r="F188" s="33" t="s">
        <v>723</v>
      </c>
      <c r="G188" s="36" t="s">
        <v>720</v>
      </c>
      <c r="H188" s="32" t="s">
        <v>14</v>
      </c>
    </row>
    <row r="189" spans="1:8" s="34" customFormat="1" ht="42.75" hidden="1" x14ac:dyDescent="0.2">
      <c r="A189" s="32">
        <v>245</v>
      </c>
      <c r="B189" s="32" t="s">
        <v>262</v>
      </c>
      <c r="C189" s="36" t="s">
        <v>724</v>
      </c>
      <c r="D189" s="32" t="s">
        <v>725</v>
      </c>
      <c r="E189" s="33" t="s">
        <v>726</v>
      </c>
      <c r="F189" s="33" t="s">
        <v>727</v>
      </c>
      <c r="G189" s="36" t="s">
        <v>728</v>
      </c>
      <c r="H189" s="32" t="s">
        <v>14</v>
      </c>
    </row>
    <row r="190" spans="1:8" s="34" customFormat="1" ht="85.5" hidden="1" x14ac:dyDescent="0.2">
      <c r="A190" s="32">
        <v>246</v>
      </c>
      <c r="B190" s="32" t="s">
        <v>262</v>
      </c>
      <c r="C190" s="36" t="s">
        <v>724</v>
      </c>
      <c r="D190" s="32" t="s">
        <v>729</v>
      </c>
      <c r="E190" s="33" t="s">
        <v>730</v>
      </c>
      <c r="F190" s="33" t="s">
        <v>731</v>
      </c>
      <c r="G190" s="36" t="s">
        <v>732</v>
      </c>
      <c r="H190" s="32" t="s">
        <v>14</v>
      </c>
    </row>
    <row r="191" spans="1:8" s="34" customFormat="1" ht="99.75" hidden="1" x14ac:dyDescent="0.2">
      <c r="A191" s="32">
        <v>247</v>
      </c>
      <c r="B191" s="32" t="s">
        <v>262</v>
      </c>
      <c r="C191" s="36" t="s">
        <v>724</v>
      </c>
      <c r="D191" s="32" t="s">
        <v>733</v>
      </c>
      <c r="E191" s="33" t="s">
        <v>734</v>
      </c>
      <c r="F191" s="33" t="s">
        <v>735</v>
      </c>
      <c r="G191" s="36" t="s">
        <v>736</v>
      </c>
      <c r="H191" s="32" t="s">
        <v>14</v>
      </c>
    </row>
    <row r="192" spans="1:8" s="34" customFormat="1" ht="42.75" hidden="1" x14ac:dyDescent="0.2">
      <c r="A192" s="32">
        <v>248</v>
      </c>
      <c r="B192" s="32" t="s">
        <v>262</v>
      </c>
      <c r="C192" s="36" t="s">
        <v>724</v>
      </c>
      <c r="D192" s="32" t="s">
        <v>737</v>
      </c>
      <c r="E192" s="33" t="s">
        <v>738</v>
      </c>
      <c r="F192" s="33" t="s">
        <v>739</v>
      </c>
      <c r="G192" s="33" t="s">
        <v>112</v>
      </c>
      <c r="H192" s="32" t="s">
        <v>14</v>
      </c>
    </row>
    <row r="193" spans="1:8" s="34" customFormat="1" ht="42.75" hidden="1" x14ac:dyDescent="0.2">
      <c r="A193" s="32">
        <v>249</v>
      </c>
      <c r="B193" s="32" t="s">
        <v>262</v>
      </c>
      <c r="C193" s="36" t="s">
        <v>724</v>
      </c>
      <c r="D193" s="32" t="s">
        <v>740</v>
      </c>
      <c r="E193" s="33" t="s">
        <v>741</v>
      </c>
      <c r="F193" s="33" t="s">
        <v>742</v>
      </c>
      <c r="G193" s="36" t="s">
        <v>743</v>
      </c>
      <c r="H193" s="32" t="s">
        <v>14</v>
      </c>
    </row>
    <row r="194" spans="1:8" s="34" customFormat="1" ht="42.75" hidden="1" x14ac:dyDescent="0.2">
      <c r="A194" s="32">
        <v>250</v>
      </c>
      <c r="B194" s="32" t="s">
        <v>262</v>
      </c>
      <c r="C194" s="36" t="s">
        <v>744</v>
      </c>
      <c r="D194" s="32" t="s">
        <v>745</v>
      </c>
      <c r="E194" s="33" t="s">
        <v>746</v>
      </c>
      <c r="F194" s="33" t="s">
        <v>747</v>
      </c>
      <c r="G194" s="33" t="s">
        <v>748</v>
      </c>
      <c r="H194" s="32" t="s">
        <v>14</v>
      </c>
    </row>
    <row r="195" spans="1:8" s="34" customFormat="1" ht="42.75" hidden="1" x14ac:dyDescent="0.2">
      <c r="A195" s="32">
        <v>251</v>
      </c>
      <c r="B195" s="32" t="s">
        <v>262</v>
      </c>
      <c r="C195" s="36" t="s">
        <v>744</v>
      </c>
      <c r="D195" s="32" t="s">
        <v>749</v>
      </c>
      <c r="E195" s="33" t="s">
        <v>750</v>
      </c>
      <c r="F195" s="33" t="s">
        <v>751</v>
      </c>
      <c r="G195" s="33" t="s">
        <v>748</v>
      </c>
      <c r="H195" s="32" t="s">
        <v>14</v>
      </c>
    </row>
    <row r="196" spans="1:8" s="34" customFormat="1" ht="71.25" hidden="1" x14ac:dyDescent="0.2">
      <c r="A196" s="32">
        <v>252</v>
      </c>
      <c r="B196" s="32" t="s">
        <v>262</v>
      </c>
      <c r="C196" s="36" t="s">
        <v>744</v>
      </c>
      <c r="D196" s="32" t="s">
        <v>752</v>
      </c>
      <c r="E196" s="33" t="s">
        <v>753</v>
      </c>
      <c r="F196" s="33" t="s">
        <v>754</v>
      </c>
      <c r="G196" s="36" t="s">
        <v>755</v>
      </c>
      <c r="H196" s="32" t="s">
        <v>14</v>
      </c>
    </row>
    <row r="197" spans="1:8" s="34" customFormat="1" ht="28.5" hidden="1" x14ac:dyDescent="0.2">
      <c r="A197" s="32">
        <v>253</v>
      </c>
      <c r="B197" s="32" t="s">
        <v>262</v>
      </c>
      <c r="C197" s="36" t="s">
        <v>744</v>
      </c>
      <c r="D197" s="32" t="s">
        <v>756</v>
      </c>
      <c r="E197" s="33" t="s">
        <v>757</v>
      </c>
      <c r="F197" s="33" t="s">
        <v>758</v>
      </c>
      <c r="G197" s="33" t="s">
        <v>759</v>
      </c>
      <c r="H197" s="32" t="s">
        <v>14</v>
      </c>
    </row>
    <row r="198" spans="1:8" s="34" customFormat="1" ht="71.25" hidden="1" x14ac:dyDescent="0.2">
      <c r="A198" s="32">
        <v>254</v>
      </c>
      <c r="B198" s="32" t="s">
        <v>262</v>
      </c>
      <c r="C198" s="36" t="s">
        <v>744</v>
      </c>
      <c r="D198" s="32" t="s">
        <v>760</v>
      </c>
      <c r="E198" s="33" t="s">
        <v>761</v>
      </c>
      <c r="F198" s="33" t="s">
        <v>762</v>
      </c>
      <c r="G198" s="36" t="s">
        <v>763</v>
      </c>
      <c r="H198" s="32" t="s">
        <v>14</v>
      </c>
    </row>
    <row r="199" spans="1:8" s="34" customFormat="1" ht="99.75" hidden="1" x14ac:dyDescent="0.2">
      <c r="A199" s="32">
        <v>255</v>
      </c>
      <c r="B199" s="32" t="s">
        <v>262</v>
      </c>
      <c r="C199" s="36" t="s">
        <v>764</v>
      </c>
      <c r="D199" s="32" t="s">
        <v>765</v>
      </c>
      <c r="E199" s="33" t="s">
        <v>766</v>
      </c>
      <c r="F199" s="33" t="s">
        <v>767</v>
      </c>
      <c r="G199" s="33" t="s">
        <v>768</v>
      </c>
      <c r="H199" s="32" t="s">
        <v>14</v>
      </c>
    </row>
    <row r="200" spans="1:8" s="34" customFormat="1" ht="99.75" hidden="1" x14ac:dyDescent="0.2">
      <c r="A200" s="32">
        <v>256</v>
      </c>
      <c r="B200" s="32" t="s">
        <v>262</v>
      </c>
      <c r="C200" s="36" t="s">
        <v>764</v>
      </c>
      <c r="D200" s="32" t="s">
        <v>769</v>
      </c>
      <c r="E200" s="33" t="s">
        <v>770</v>
      </c>
      <c r="F200" s="33" t="s">
        <v>771</v>
      </c>
      <c r="G200" s="36" t="s">
        <v>772</v>
      </c>
      <c r="H200" s="32" t="s">
        <v>14</v>
      </c>
    </row>
    <row r="201" spans="1:8" s="34" customFormat="1" ht="99.75" hidden="1" x14ac:dyDescent="0.2">
      <c r="A201" s="32">
        <v>257</v>
      </c>
      <c r="B201" s="32" t="s">
        <v>262</v>
      </c>
      <c r="C201" s="36" t="s">
        <v>764</v>
      </c>
      <c r="D201" s="32" t="s">
        <v>773</v>
      </c>
      <c r="E201" s="33" t="s">
        <v>774</v>
      </c>
      <c r="F201" s="33" t="s">
        <v>775</v>
      </c>
      <c r="G201" s="36" t="s">
        <v>776</v>
      </c>
      <c r="H201" s="32" t="s">
        <v>14</v>
      </c>
    </row>
    <row r="202" spans="1:8" s="34" customFormat="1" ht="114" hidden="1" x14ac:dyDescent="0.2">
      <c r="A202" s="32">
        <v>258</v>
      </c>
      <c r="B202" s="32" t="s">
        <v>262</v>
      </c>
      <c r="C202" s="36" t="s">
        <v>764</v>
      </c>
      <c r="D202" s="32" t="s">
        <v>777</v>
      </c>
      <c r="E202" s="33" t="s">
        <v>778</v>
      </c>
      <c r="F202" s="33" t="s">
        <v>779</v>
      </c>
      <c r="G202" s="36" t="s">
        <v>780</v>
      </c>
      <c r="H202" s="32" t="s">
        <v>14</v>
      </c>
    </row>
    <row r="203" spans="1:8" s="34" customFormat="1" ht="57" hidden="1" x14ac:dyDescent="0.2">
      <c r="A203" s="32">
        <v>259</v>
      </c>
      <c r="B203" s="32" t="s">
        <v>262</v>
      </c>
      <c r="C203" s="36" t="s">
        <v>764</v>
      </c>
      <c r="D203" s="32" t="s">
        <v>781</v>
      </c>
      <c r="E203" s="33" t="s">
        <v>782</v>
      </c>
      <c r="F203" s="33" t="s">
        <v>783</v>
      </c>
      <c r="G203" s="36" t="s">
        <v>784</v>
      </c>
      <c r="H203" s="32" t="s">
        <v>14</v>
      </c>
    </row>
    <row r="204" spans="1:8" s="34" customFormat="1" ht="99.75" hidden="1" x14ac:dyDescent="0.2">
      <c r="A204" s="32">
        <v>260</v>
      </c>
      <c r="B204" s="32" t="s">
        <v>262</v>
      </c>
      <c r="C204" s="36" t="s">
        <v>764</v>
      </c>
      <c r="D204" s="32" t="s">
        <v>785</v>
      </c>
      <c r="E204" s="33" t="s">
        <v>786</v>
      </c>
      <c r="F204" s="33" t="s">
        <v>787</v>
      </c>
      <c r="G204" s="36" t="s">
        <v>788</v>
      </c>
      <c r="H204" s="32" t="s">
        <v>14</v>
      </c>
    </row>
    <row r="205" spans="1:8" s="34" customFormat="1" ht="99.75" hidden="1" x14ac:dyDescent="0.2">
      <c r="A205" s="32">
        <v>261</v>
      </c>
      <c r="B205" s="32" t="s">
        <v>262</v>
      </c>
      <c r="C205" s="36" t="s">
        <v>764</v>
      </c>
      <c r="D205" s="32" t="s">
        <v>789</v>
      </c>
      <c r="E205" s="33" t="s">
        <v>790</v>
      </c>
      <c r="F205" s="33" t="s">
        <v>791</v>
      </c>
      <c r="G205" s="36" t="s">
        <v>792</v>
      </c>
      <c r="H205" s="32" t="s">
        <v>14</v>
      </c>
    </row>
    <row r="206" spans="1:8" s="34" customFormat="1" ht="71.25" hidden="1" x14ac:dyDescent="0.2">
      <c r="A206" s="32">
        <v>262</v>
      </c>
      <c r="B206" s="32" t="s">
        <v>262</v>
      </c>
      <c r="C206" s="36" t="s">
        <v>764</v>
      </c>
      <c r="D206" s="32" t="s">
        <v>793</v>
      </c>
      <c r="E206" s="33" t="s">
        <v>794</v>
      </c>
      <c r="F206" s="33" t="s">
        <v>795</v>
      </c>
      <c r="G206" s="33" t="s">
        <v>796</v>
      </c>
      <c r="H206" s="32" t="s">
        <v>14</v>
      </c>
    </row>
    <row r="207" spans="1:8" s="34" customFormat="1" ht="85.5" hidden="1" x14ac:dyDescent="0.2">
      <c r="A207" s="32">
        <v>264</v>
      </c>
      <c r="B207" s="32" t="s">
        <v>262</v>
      </c>
      <c r="C207" s="36" t="s">
        <v>797</v>
      </c>
      <c r="D207" s="32" t="s">
        <v>798</v>
      </c>
      <c r="E207" s="36" t="s">
        <v>799</v>
      </c>
      <c r="F207" s="33" t="s">
        <v>800</v>
      </c>
      <c r="G207" s="33" t="s">
        <v>801</v>
      </c>
      <c r="H207" s="32" t="s">
        <v>14</v>
      </c>
    </row>
    <row r="208" spans="1:8" s="34" customFormat="1" ht="99.75" hidden="1" x14ac:dyDescent="0.2">
      <c r="A208" s="32">
        <v>265</v>
      </c>
      <c r="B208" s="32" t="s">
        <v>262</v>
      </c>
      <c r="C208" s="36" t="s">
        <v>797</v>
      </c>
      <c r="D208" s="32" t="s">
        <v>802</v>
      </c>
      <c r="E208" s="33" t="s">
        <v>803</v>
      </c>
      <c r="F208" s="33" t="s">
        <v>804</v>
      </c>
      <c r="G208" s="33" t="s">
        <v>805</v>
      </c>
      <c r="H208" s="32" t="s">
        <v>14</v>
      </c>
    </row>
    <row r="209" spans="1:8" s="34" customFormat="1" ht="171" hidden="1" x14ac:dyDescent="0.2">
      <c r="A209" s="32">
        <v>266</v>
      </c>
      <c r="B209" s="32" t="s">
        <v>262</v>
      </c>
      <c r="C209" s="36" t="s">
        <v>806</v>
      </c>
      <c r="D209" s="32" t="s">
        <v>807</v>
      </c>
      <c r="E209" s="33" t="s">
        <v>808</v>
      </c>
      <c r="F209" s="33" t="s">
        <v>809</v>
      </c>
      <c r="G209" s="36" t="s">
        <v>810</v>
      </c>
      <c r="H209" s="32" t="s">
        <v>14</v>
      </c>
    </row>
    <row r="210" spans="1:8" s="34" customFormat="1" ht="171" hidden="1" x14ac:dyDescent="0.2">
      <c r="A210" s="32">
        <v>267</v>
      </c>
      <c r="B210" s="32" t="s">
        <v>262</v>
      </c>
      <c r="C210" s="36" t="s">
        <v>806</v>
      </c>
      <c r="D210" s="32" t="s">
        <v>811</v>
      </c>
      <c r="E210" s="33" t="s">
        <v>812</v>
      </c>
      <c r="F210" s="33" t="s">
        <v>813</v>
      </c>
      <c r="G210" s="36" t="s">
        <v>814</v>
      </c>
      <c r="H210" s="32" t="s">
        <v>14</v>
      </c>
    </row>
    <row r="211" spans="1:8" s="34" customFormat="1" ht="99.75" hidden="1" x14ac:dyDescent="0.2">
      <c r="A211" s="32">
        <v>268</v>
      </c>
      <c r="B211" s="32" t="s">
        <v>262</v>
      </c>
      <c r="C211" s="36" t="s">
        <v>806</v>
      </c>
      <c r="D211" s="32" t="s">
        <v>815</v>
      </c>
      <c r="E211" s="33" t="s">
        <v>816</v>
      </c>
      <c r="F211" s="33" t="s">
        <v>817</v>
      </c>
      <c r="G211" s="33" t="s">
        <v>818</v>
      </c>
      <c r="H211" s="32" t="s">
        <v>14</v>
      </c>
    </row>
    <row r="212" spans="1:8" s="34" customFormat="1" ht="71.25" hidden="1" x14ac:dyDescent="0.2">
      <c r="A212" s="32">
        <v>269</v>
      </c>
      <c r="B212" s="32" t="s">
        <v>262</v>
      </c>
      <c r="C212" s="36" t="s">
        <v>806</v>
      </c>
      <c r="D212" s="32" t="s">
        <v>819</v>
      </c>
      <c r="E212" s="33" t="s">
        <v>820</v>
      </c>
      <c r="F212" s="33" t="s">
        <v>821</v>
      </c>
      <c r="G212" s="33" t="s">
        <v>822</v>
      </c>
      <c r="H212" s="32" t="s">
        <v>14</v>
      </c>
    </row>
    <row r="213" spans="1:8" s="34" customFormat="1" ht="42.75" hidden="1" x14ac:dyDescent="0.2">
      <c r="A213" s="32">
        <v>270</v>
      </c>
      <c r="B213" s="32" t="s">
        <v>262</v>
      </c>
      <c r="C213" s="36" t="s">
        <v>806</v>
      </c>
      <c r="D213" s="32" t="s">
        <v>823</v>
      </c>
      <c r="E213" s="33" t="s">
        <v>824</v>
      </c>
      <c r="F213" s="33" t="s">
        <v>825</v>
      </c>
      <c r="G213" s="33" t="s">
        <v>112</v>
      </c>
      <c r="H213" s="32" t="s">
        <v>14</v>
      </c>
    </row>
    <row r="214" spans="1:8" s="34" customFormat="1" ht="42.75" hidden="1" x14ac:dyDescent="0.2">
      <c r="A214" s="32">
        <v>271</v>
      </c>
      <c r="B214" s="32" t="s">
        <v>262</v>
      </c>
      <c r="C214" s="36" t="s">
        <v>806</v>
      </c>
      <c r="D214" s="32" t="s">
        <v>826</v>
      </c>
      <c r="E214" s="33" t="s">
        <v>827</v>
      </c>
      <c r="F214" s="33" t="s">
        <v>828</v>
      </c>
      <c r="G214" s="33" t="s">
        <v>112</v>
      </c>
      <c r="H214" s="32" t="s">
        <v>14</v>
      </c>
    </row>
    <row r="215" spans="1:8" s="34" customFormat="1" ht="142.5" hidden="1" x14ac:dyDescent="0.2">
      <c r="A215" s="32">
        <v>272</v>
      </c>
      <c r="B215" s="32" t="s">
        <v>262</v>
      </c>
      <c r="C215" s="36" t="s">
        <v>806</v>
      </c>
      <c r="D215" s="32" t="s">
        <v>829</v>
      </c>
      <c r="E215" s="33" t="s">
        <v>830</v>
      </c>
      <c r="F215" s="33" t="s">
        <v>831</v>
      </c>
      <c r="G215" s="33" t="s">
        <v>832</v>
      </c>
      <c r="H215" s="32" t="s">
        <v>14</v>
      </c>
    </row>
    <row r="216" spans="1:8" s="34" customFormat="1" ht="156.75" hidden="1" x14ac:dyDescent="0.2">
      <c r="A216" s="32">
        <v>273</v>
      </c>
      <c r="B216" s="32" t="s">
        <v>262</v>
      </c>
      <c r="C216" s="36" t="s">
        <v>806</v>
      </c>
      <c r="D216" s="32" t="s">
        <v>833</v>
      </c>
      <c r="E216" s="33" t="s">
        <v>834</v>
      </c>
      <c r="F216" s="33" t="s">
        <v>835</v>
      </c>
      <c r="G216" s="36" t="s">
        <v>836</v>
      </c>
      <c r="H216" s="32" t="s">
        <v>14</v>
      </c>
    </row>
    <row r="217" spans="1:8" s="34" customFormat="1" ht="156.75" hidden="1" x14ac:dyDescent="0.2">
      <c r="A217" s="32">
        <v>274</v>
      </c>
      <c r="B217" s="32" t="s">
        <v>262</v>
      </c>
      <c r="C217" s="36" t="s">
        <v>806</v>
      </c>
      <c r="D217" s="32" t="s">
        <v>837</v>
      </c>
      <c r="E217" s="33" t="s">
        <v>838</v>
      </c>
      <c r="F217" s="33" t="s">
        <v>839</v>
      </c>
      <c r="G217" s="33" t="s">
        <v>840</v>
      </c>
      <c r="H217" s="32" t="s">
        <v>14</v>
      </c>
    </row>
    <row r="218" spans="1:8" s="34" customFormat="1" ht="114" hidden="1" x14ac:dyDescent="0.2">
      <c r="A218" s="32">
        <v>275</v>
      </c>
      <c r="B218" s="32" t="s">
        <v>262</v>
      </c>
      <c r="C218" s="36" t="s">
        <v>806</v>
      </c>
      <c r="D218" s="32" t="s">
        <v>841</v>
      </c>
      <c r="E218" s="33" t="s">
        <v>842</v>
      </c>
      <c r="F218" s="33" t="s">
        <v>843</v>
      </c>
      <c r="G218" s="36" t="s">
        <v>844</v>
      </c>
      <c r="H218" s="32" t="s">
        <v>14</v>
      </c>
    </row>
    <row r="219" spans="1:8" s="34" customFormat="1" ht="128.25" hidden="1" x14ac:dyDescent="0.2">
      <c r="A219" s="32">
        <v>276</v>
      </c>
      <c r="B219" s="32" t="s">
        <v>262</v>
      </c>
      <c r="C219" s="36" t="s">
        <v>806</v>
      </c>
      <c r="D219" s="32" t="s">
        <v>845</v>
      </c>
      <c r="E219" s="33" t="s">
        <v>846</v>
      </c>
      <c r="F219" s="33" t="s">
        <v>847</v>
      </c>
      <c r="G219" s="36" t="s">
        <v>848</v>
      </c>
      <c r="H219" s="32" t="s">
        <v>14</v>
      </c>
    </row>
    <row r="220" spans="1:8" s="34" customFormat="1" ht="213.75" hidden="1" x14ac:dyDescent="0.2">
      <c r="A220" s="32">
        <v>277</v>
      </c>
      <c r="B220" s="32" t="s">
        <v>262</v>
      </c>
      <c r="C220" s="36" t="s">
        <v>806</v>
      </c>
      <c r="D220" s="32" t="s">
        <v>849</v>
      </c>
      <c r="E220" s="33" t="s">
        <v>850</v>
      </c>
      <c r="F220" s="33" t="s">
        <v>851</v>
      </c>
      <c r="G220" s="33" t="s">
        <v>852</v>
      </c>
      <c r="H220" s="32" t="s">
        <v>14</v>
      </c>
    </row>
    <row r="221" spans="1:8" s="34" customFormat="1" ht="99.75" hidden="1" x14ac:dyDescent="0.2">
      <c r="A221" s="32">
        <v>279</v>
      </c>
      <c r="B221" s="32" t="s">
        <v>262</v>
      </c>
      <c r="C221" s="36" t="s">
        <v>853</v>
      </c>
      <c r="D221" s="32" t="s">
        <v>854</v>
      </c>
      <c r="E221" s="33" t="s">
        <v>855</v>
      </c>
      <c r="F221" s="33" t="s">
        <v>856</v>
      </c>
      <c r="G221" s="33" t="s">
        <v>857</v>
      </c>
      <c r="H221" s="32" t="s">
        <v>14</v>
      </c>
    </row>
    <row r="222" spans="1:8" s="34" customFormat="1" ht="99.75" hidden="1" x14ac:dyDescent="0.2">
      <c r="A222" s="32">
        <v>280</v>
      </c>
      <c r="B222" s="32" t="s">
        <v>262</v>
      </c>
      <c r="C222" s="36" t="s">
        <v>853</v>
      </c>
      <c r="D222" s="32" t="s">
        <v>858</v>
      </c>
      <c r="E222" s="33" t="s">
        <v>859</v>
      </c>
      <c r="F222" s="33" t="s">
        <v>860</v>
      </c>
      <c r="G222" s="33" t="s">
        <v>861</v>
      </c>
      <c r="H222" s="32" t="s">
        <v>14</v>
      </c>
    </row>
    <row r="223" spans="1:8" s="34" customFormat="1" ht="114" hidden="1" x14ac:dyDescent="0.2">
      <c r="A223" s="32">
        <v>281</v>
      </c>
      <c r="B223" s="32" t="s">
        <v>262</v>
      </c>
      <c r="C223" s="36" t="s">
        <v>853</v>
      </c>
      <c r="D223" s="32" t="s">
        <v>862</v>
      </c>
      <c r="E223" s="33" t="s">
        <v>863</v>
      </c>
      <c r="F223" s="33" t="s">
        <v>864</v>
      </c>
      <c r="G223" s="33" t="s">
        <v>865</v>
      </c>
      <c r="H223" s="32" t="s">
        <v>14</v>
      </c>
    </row>
    <row r="224" spans="1:8" s="34" customFormat="1" ht="85.5" hidden="1" x14ac:dyDescent="0.2">
      <c r="A224" s="32">
        <v>282</v>
      </c>
      <c r="B224" s="32" t="s">
        <v>262</v>
      </c>
      <c r="C224" s="36" t="s">
        <v>853</v>
      </c>
      <c r="D224" s="32" t="s">
        <v>866</v>
      </c>
      <c r="E224" s="33" t="s">
        <v>867</v>
      </c>
      <c r="F224" s="33" t="s">
        <v>868</v>
      </c>
      <c r="G224" s="33" t="s">
        <v>869</v>
      </c>
      <c r="H224" s="32" t="s">
        <v>14</v>
      </c>
    </row>
    <row r="225" spans="1:8" s="34" customFormat="1" ht="85.5" hidden="1" x14ac:dyDescent="0.2">
      <c r="A225" s="32">
        <v>283</v>
      </c>
      <c r="B225" s="32" t="s">
        <v>262</v>
      </c>
      <c r="C225" s="36" t="s">
        <v>853</v>
      </c>
      <c r="D225" s="32" t="s">
        <v>870</v>
      </c>
      <c r="E225" s="33" t="s">
        <v>871</v>
      </c>
      <c r="F225" s="33" t="s">
        <v>872</v>
      </c>
      <c r="G225" s="33" t="s">
        <v>873</v>
      </c>
      <c r="H225" s="32" t="s">
        <v>14</v>
      </c>
    </row>
    <row r="226" spans="1:8" s="34" customFormat="1" ht="156.75" hidden="1" x14ac:dyDescent="0.2">
      <c r="A226" s="32">
        <v>284</v>
      </c>
      <c r="B226" s="32" t="s">
        <v>262</v>
      </c>
      <c r="C226" s="36" t="s">
        <v>853</v>
      </c>
      <c r="D226" s="32" t="s">
        <v>874</v>
      </c>
      <c r="E226" s="33" t="s">
        <v>875</v>
      </c>
      <c r="F226" s="33" t="s">
        <v>876</v>
      </c>
      <c r="G226" s="36" t="s">
        <v>877</v>
      </c>
      <c r="H226" s="32" t="s">
        <v>14</v>
      </c>
    </row>
    <row r="227" spans="1:8" s="34" customFormat="1" ht="28.5" hidden="1" x14ac:dyDescent="0.2">
      <c r="A227" s="32">
        <v>285</v>
      </c>
      <c r="B227" s="32" t="s">
        <v>262</v>
      </c>
      <c r="C227" s="36" t="s">
        <v>853</v>
      </c>
      <c r="D227" s="32" t="s">
        <v>878</v>
      </c>
      <c r="E227" s="33" t="s">
        <v>879</v>
      </c>
      <c r="F227" s="33" t="s">
        <v>880</v>
      </c>
      <c r="G227" s="33" t="s">
        <v>112</v>
      </c>
      <c r="H227" s="32" t="s">
        <v>14</v>
      </c>
    </row>
    <row r="228" spans="1:8" s="34" customFormat="1" ht="14.25" x14ac:dyDescent="0.2">
      <c r="A228" s="32">
        <v>286</v>
      </c>
      <c r="B228" s="32" t="s">
        <v>881</v>
      </c>
      <c r="C228" s="36" t="s">
        <v>882</v>
      </c>
      <c r="D228" s="32" t="s">
        <v>881</v>
      </c>
      <c r="E228" s="33" t="s">
        <v>882</v>
      </c>
      <c r="F228" s="33" t="s">
        <v>883</v>
      </c>
      <c r="G228" s="33" t="s">
        <v>112</v>
      </c>
      <c r="H228" s="32" t="s">
        <v>14</v>
      </c>
    </row>
    <row r="229" spans="1:8" s="34" customFormat="1" ht="14.25" x14ac:dyDescent="0.2">
      <c r="A229" s="40"/>
      <c r="B229" s="40"/>
      <c r="C229" s="41"/>
      <c r="D229" s="40"/>
      <c r="E229" s="41"/>
      <c r="F229" s="41"/>
      <c r="G229" s="41"/>
      <c r="H229" s="40"/>
    </row>
    <row r="230" spans="1:8" s="34" customFormat="1" ht="50.25" customHeight="1" x14ac:dyDescent="0.2">
      <c r="A230" s="40"/>
      <c r="B230" s="40"/>
      <c r="C230" s="41"/>
      <c r="D230" s="42" t="s">
        <v>884</v>
      </c>
      <c r="E230" s="138" t="s">
        <v>885</v>
      </c>
      <c r="F230" s="138"/>
      <c r="G230" s="138"/>
      <c r="H230" s="40"/>
    </row>
    <row r="231" spans="1:8" s="34" customFormat="1" ht="64.5" customHeight="1" x14ac:dyDescent="0.2">
      <c r="A231" s="40"/>
      <c r="B231" s="40"/>
      <c r="C231" s="41"/>
      <c r="D231" s="40"/>
      <c r="E231" s="138" t="s">
        <v>886</v>
      </c>
      <c r="F231" s="138"/>
      <c r="G231" s="138"/>
      <c r="H231" s="40"/>
    </row>
    <row r="232" spans="1:8" s="34" customFormat="1" ht="14.25" x14ac:dyDescent="0.2">
      <c r="A232" s="40"/>
      <c r="B232" s="40"/>
      <c r="C232" s="40"/>
      <c r="D232" s="41"/>
      <c r="E232" s="41"/>
      <c r="F232" s="41"/>
      <c r="G232" s="40"/>
    </row>
    <row r="233" spans="1:8" s="34" customFormat="1" ht="14.25" x14ac:dyDescent="0.2">
      <c r="B233" s="43"/>
      <c r="C233" s="80" t="s">
        <v>887</v>
      </c>
      <c r="D233" s="81" t="s">
        <v>888</v>
      </c>
      <c r="F233" s="82" t="s">
        <v>889</v>
      </c>
      <c r="G233" s="44"/>
    </row>
    <row r="234" spans="1:8" s="34" customFormat="1" ht="14.25" x14ac:dyDescent="0.2">
      <c r="B234" s="43"/>
      <c r="C234" s="45" t="s">
        <v>890</v>
      </c>
      <c r="D234" s="43" t="s">
        <v>891</v>
      </c>
      <c r="F234" s="34" t="s">
        <v>892</v>
      </c>
      <c r="G234" s="44"/>
    </row>
    <row r="235" spans="1:8" s="34" customFormat="1" ht="14.25" x14ac:dyDescent="0.2">
      <c r="B235" s="43"/>
      <c r="C235" s="45" t="s">
        <v>893</v>
      </c>
      <c r="D235" s="43" t="s">
        <v>894</v>
      </c>
      <c r="F235" s="34" t="s">
        <v>895</v>
      </c>
      <c r="G235" s="44"/>
    </row>
    <row r="236" spans="1:8" s="34" customFormat="1" ht="14.25" x14ac:dyDescent="0.2">
      <c r="B236" s="43"/>
      <c r="C236" s="45" t="s">
        <v>896</v>
      </c>
      <c r="D236" s="43"/>
      <c r="G236" s="44"/>
    </row>
    <row r="237" spans="1:8" s="34" customFormat="1" ht="14.25" x14ac:dyDescent="0.2">
      <c r="B237" s="43"/>
      <c r="C237" s="45" t="s">
        <v>897</v>
      </c>
      <c r="D237" s="43"/>
      <c r="G237" s="44"/>
    </row>
    <row r="238" spans="1:8" s="34" customFormat="1" ht="14.25" x14ac:dyDescent="0.2">
      <c r="B238" s="43"/>
      <c r="D238" s="43"/>
      <c r="G238" s="44"/>
    </row>
    <row r="239" spans="1:8" s="34" customFormat="1" x14ac:dyDescent="0.2">
      <c r="B239" s="43"/>
      <c r="C239" s="46" t="s">
        <v>898</v>
      </c>
      <c r="D239" s="46"/>
      <c r="F239" s="15" t="s">
        <v>898</v>
      </c>
      <c r="G239" s="44"/>
    </row>
    <row r="240" spans="1:8" s="34" customFormat="1" x14ac:dyDescent="0.25">
      <c r="B240" s="43"/>
      <c r="C240" s="47" t="s">
        <v>899</v>
      </c>
      <c r="D240" s="48" t="s">
        <v>899</v>
      </c>
      <c r="F240" s="2" t="s">
        <v>900</v>
      </c>
      <c r="G240" s="44"/>
    </row>
    <row r="241" spans="2:7" s="34" customFormat="1" x14ac:dyDescent="0.25">
      <c r="B241" s="43"/>
      <c r="C241" s="47" t="s">
        <v>901</v>
      </c>
      <c r="D241" s="48" t="s">
        <v>902</v>
      </c>
      <c r="F241" s="2" t="s">
        <v>903</v>
      </c>
      <c r="G241" s="44"/>
    </row>
    <row r="242" spans="2:7" s="34" customFormat="1" x14ac:dyDescent="0.25">
      <c r="B242" s="43"/>
      <c r="C242" s="47" t="s">
        <v>904</v>
      </c>
      <c r="D242" s="48" t="s">
        <v>904</v>
      </c>
      <c r="F242" s="2" t="s">
        <v>905</v>
      </c>
      <c r="G242" s="44"/>
    </row>
    <row r="243" spans="2:7" s="34" customFormat="1" x14ac:dyDescent="0.25">
      <c r="B243" s="43"/>
      <c r="C243" s="47" t="s">
        <v>906</v>
      </c>
      <c r="D243" s="48" t="s">
        <v>907</v>
      </c>
      <c r="F243" s="2" t="s">
        <v>908</v>
      </c>
      <c r="G243" s="44"/>
    </row>
    <row r="244" spans="2:7" s="34" customFormat="1" ht="57" x14ac:dyDescent="0.25">
      <c r="B244" s="43"/>
      <c r="C244" s="47" t="s">
        <v>909</v>
      </c>
      <c r="D244" s="48" t="s">
        <v>910</v>
      </c>
      <c r="F244" s="2" t="s">
        <v>901</v>
      </c>
      <c r="G244" s="44"/>
    </row>
    <row r="245" spans="2:7" s="34" customFormat="1" x14ac:dyDescent="0.25">
      <c r="B245" s="43"/>
      <c r="C245" s="47" t="s">
        <v>911</v>
      </c>
      <c r="D245" s="48" t="s">
        <v>911</v>
      </c>
      <c r="F245" s="2" t="s">
        <v>904</v>
      </c>
      <c r="G245" s="44"/>
    </row>
    <row r="246" spans="2:7" s="34" customFormat="1" x14ac:dyDescent="0.25">
      <c r="B246" s="43"/>
      <c r="C246" s="47" t="s">
        <v>912</v>
      </c>
      <c r="D246" s="48" t="s">
        <v>912</v>
      </c>
      <c r="F246" s="2" t="s">
        <v>913</v>
      </c>
      <c r="G246" s="44"/>
    </row>
    <row r="247" spans="2:7" s="34" customFormat="1" x14ac:dyDescent="0.25">
      <c r="B247" s="43"/>
      <c r="C247" s="47" t="s">
        <v>914</v>
      </c>
      <c r="D247" s="48" t="s">
        <v>915</v>
      </c>
      <c r="F247" s="2" t="s">
        <v>916</v>
      </c>
      <c r="G247" s="44"/>
    </row>
    <row r="248" spans="2:7" s="34" customFormat="1" x14ac:dyDescent="0.25">
      <c r="B248" s="43"/>
      <c r="C248" s="47" t="s">
        <v>917</v>
      </c>
      <c r="D248" s="48" t="s">
        <v>918</v>
      </c>
      <c r="F248" s="2" t="s">
        <v>919</v>
      </c>
      <c r="G248" s="44"/>
    </row>
    <row r="249" spans="2:7" s="34" customFormat="1" ht="28.5" x14ac:dyDescent="0.2">
      <c r="B249" s="43"/>
      <c r="C249" s="47" t="s">
        <v>920</v>
      </c>
      <c r="D249" s="48" t="s">
        <v>921</v>
      </c>
      <c r="F249" s="1" t="s">
        <v>909</v>
      </c>
      <c r="G249" s="44"/>
    </row>
    <row r="250" spans="2:7" s="34" customFormat="1" x14ac:dyDescent="0.25">
      <c r="B250" s="43"/>
      <c r="C250" s="47" t="s">
        <v>922</v>
      </c>
      <c r="D250" s="48" t="s">
        <v>922</v>
      </c>
      <c r="F250" s="2" t="s">
        <v>909</v>
      </c>
      <c r="G250" s="44"/>
    </row>
    <row r="251" spans="2:7" s="34" customFormat="1" x14ac:dyDescent="0.25">
      <c r="B251" s="43"/>
      <c r="C251" s="47" t="s">
        <v>923</v>
      </c>
      <c r="D251" s="48" t="s">
        <v>923</v>
      </c>
      <c r="F251" s="2" t="s">
        <v>924</v>
      </c>
      <c r="G251" s="44"/>
    </row>
    <row r="252" spans="2:7" s="34" customFormat="1" x14ac:dyDescent="0.25">
      <c r="B252" s="43"/>
      <c r="C252" s="47" t="s">
        <v>925</v>
      </c>
      <c r="D252" s="48" t="s">
        <v>925</v>
      </c>
      <c r="F252" s="2" t="s">
        <v>914</v>
      </c>
      <c r="G252" s="44"/>
    </row>
    <row r="253" spans="2:7" s="34" customFormat="1" ht="57" x14ac:dyDescent="0.25">
      <c r="B253" s="43"/>
      <c r="C253" s="47" t="s">
        <v>926</v>
      </c>
      <c r="D253" s="48" t="s">
        <v>927</v>
      </c>
      <c r="F253" s="2" t="s">
        <v>917</v>
      </c>
      <c r="G253" s="44"/>
    </row>
    <row r="254" spans="2:7" s="34" customFormat="1" ht="42.75" x14ac:dyDescent="0.25">
      <c r="B254" s="43"/>
      <c r="C254" s="47" t="s">
        <v>928</v>
      </c>
      <c r="D254" s="48" t="s">
        <v>929</v>
      </c>
      <c r="F254" s="2" t="s">
        <v>920</v>
      </c>
      <c r="G254" s="44"/>
    </row>
    <row r="255" spans="2:7" s="34" customFormat="1" x14ac:dyDescent="0.25">
      <c r="B255" s="43"/>
      <c r="C255" s="47" t="s">
        <v>930</v>
      </c>
      <c r="D255" s="48" t="s">
        <v>930</v>
      </c>
      <c r="F255" s="2" t="s">
        <v>931</v>
      </c>
      <c r="G255" s="44"/>
    </row>
    <row r="256" spans="2:7" s="34" customFormat="1" x14ac:dyDescent="0.25">
      <c r="B256" s="43"/>
      <c r="C256" s="47" t="s">
        <v>932</v>
      </c>
      <c r="D256" s="48" t="s">
        <v>932</v>
      </c>
      <c r="F256" s="2" t="s">
        <v>922</v>
      </c>
      <c r="G256" s="44"/>
    </row>
    <row r="257" spans="2:7" s="34" customFormat="1" x14ac:dyDescent="0.25">
      <c r="B257" s="43"/>
      <c r="C257" s="47" t="s">
        <v>933</v>
      </c>
      <c r="D257" s="48" t="s">
        <v>933</v>
      </c>
      <c r="F257" s="2" t="s">
        <v>934</v>
      </c>
      <c r="G257" s="44"/>
    </row>
    <row r="258" spans="2:7" s="34" customFormat="1" x14ac:dyDescent="0.25">
      <c r="B258" s="43"/>
      <c r="C258" s="47" t="s">
        <v>935</v>
      </c>
      <c r="D258" s="48" t="s">
        <v>935</v>
      </c>
      <c r="F258" s="2" t="s">
        <v>926</v>
      </c>
      <c r="G258" s="44"/>
    </row>
    <row r="259" spans="2:7" s="34" customFormat="1" x14ac:dyDescent="0.2">
      <c r="B259" s="43"/>
      <c r="C259" s="47" t="s">
        <v>936</v>
      </c>
      <c r="D259" s="48" t="s">
        <v>936</v>
      </c>
      <c r="F259" s="1" t="s">
        <v>928</v>
      </c>
      <c r="G259" s="44"/>
    </row>
    <row r="260" spans="2:7" s="34" customFormat="1" x14ac:dyDescent="0.25">
      <c r="B260" s="43"/>
      <c r="C260" s="47" t="s">
        <v>937</v>
      </c>
      <c r="D260" s="48" t="s">
        <v>937</v>
      </c>
      <c r="F260" s="2" t="s">
        <v>928</v>
      </c>
      <c r="G260" s="44"/>
    </row>
    <row r="261" spans="2:7" s="34" customFormat="1" x14ac:dyDescent="0.25">
      <c r="B261" s="43"/>
      <c r="C261" s="47" t="s">
        <v>938</v>
      </c>
      <c r="D261" s="48" t="s">
        <v>938</v>
      </c>
      <c r="F261" s="2" t="s">
        <v>930</v>
      </c>
      <c r="G261" s="44"/>
    </row>
    <row r="262" spans="2:7" s="34" customFormat="1" x14ac:dyDescent="0.25">
      <c r="B262" s="43"/>
      <c r="C262" s="47" t="s">
        <v>939</v>
      </c>
      <c r="D262" s="48" t="s">
        <v>939</v>
      </c>
      <c r="F262" s="2" t="s">
        <v>940</v>
      </c>
      <c r="G262" s="44"/>
    </row>
    <row r="263" spans="2:7" s="34" customFormat="1" x14ac:dyDescent="0.25">
      <c r="B263" s="43"/>
      <c r="C263" s="49" t="s">
        <v>941</v>
      </c>
      <c r="D263" s="49" t="s">
        <v>941</v>
      </c>
      <c r="F263" s="17" t="s">
        <v>932</v>
      </c>
      <c r="G263" s="44"/>
    </row>
    <row r="264" spans="2:7" s="34" customFormat="1" x14ac:dyDescent="0.25">
      <c r="B264" s="43"/>
      <c r="C264" s="47" t="s">
        <v>942</v>
      </c>
      <c r="D264" s="48" t="s">
        <v>942</v>
      </c>
      <c r="F264" s="2" t="s">
        <v>933</v>
      </c>
      <c r="G264" s="44"/>
    </row>
    <row r="265" spans="2:7" s="34" customFormat="1" x14ac:dyDescent="0.25">
      <c r="B265" s="43"/>
      <c r="C265" s="47" t="s">
        <v>943</v>
      </c>
      <c r="D265" s="48" t="s">
        <v>943</v>
      </c>
      <c r="F265" s="2" t="s">
        <v>944</v>
      </c>
      <c r="G265" s="44"/>
    </row>
    <row r="266" spans="2:7" s="34" customFormat="1" ht="28.5" x14ac:dyDescent="0.25">
      <c r="B266" s="43"/>
      <c r="C266" s="47" t="s">
        <v>945</v>
      </c>
      <c r="D266" s="48" t="s">
        <v>945</v>
      </c>
      <c r="F266" s="2" t="s">
        <v>935</v>
      </c>
      <c r="G266" s="44"/>
    </row>
    <row r="267" spans="2:7" s="34" customFormat="1" x14ac:dyDescent="0.25">
      <c r="B267" s="43"/>
      <c r="C267" s="47" t="s">
        <v>946</v>
      </c>
      <c r="D267" s="48" t="s">
        <v>946</v>
      </c>
      <c r="E267" s="50"/>
      <c r="F267" s="2" t="s">
        <v>937</v>
      </c>
      <c r="G267" s="44"/>
    </row>
    <row r="268" spans="2:7" s="34" customFormat="1" x14ac:dyDescent="0.2">
      <c r="B268" s="43"/>
      <c r="C268" s="47" t="s">
        <v>947</v>
      </c>
      <c r="D268" s="48" t="s">
        <v>947</v>
      </c>
      <c r="F268" s="1" t="s">
        <v>938</v>
      </c>
      <c r="G268" s="44"/>
    </row>
    <row r="269" spans="2:7" s="34" customFormat="1" x14ac:dyDescent="0.2">
      <c r="B269" s="43"/>
      <c r="C269" s="47" t="s">
        <v>948</v>
      </c>
      <c r="D269" s="48" t="s">
        <v>948</v>
      </c>
      <c r="F269" s="1" t="s">
        <v>939</v>
      </c>
      <c r="G269" s="44"/>
    </row>
    <row r="270" spans="2:7" s="34" customFormat="1" x14ac:dyDescent="0.2">
      <c r="B270" s="43"/>
      <c r="C270" s="47" t="s">
        <v>949</v>
      </c>
      <c r="D270" s="48" t="s">
        <v>949</v>
      </c>
      <c r="F270" s="1" t="s">
        <v>942</v>
      </c>
      <c r="G270" s="44"/>
    </row>
    <row r="271" spans="2:7" s="34" customFormat="1" x14ac:dyDescent="0.2">
      <c r="B271" s="43"/>
      <c r="C271" s="47" t="s">
        <v>950</v>
      </c>
      <c r="D271" s="48" t="s">
        <v>951</v>
      </c>
      <c r="F271" s="1" t="s">
        <v>943</v>
      </c>
      <c r="G271" s="44"/>
    </row>
    <row r="272" spans="2:7" s="34" customFormat="1" x14ac:dyDescent="0.2">
      <c r="B272" s="43"/>
      <c r="C272" s="47" t="s">
        <v>952</v>
      </c>
      <c r="D272" s="48" t="s">
        <v>952</v>
      </c>
      <c r="F272" s="1" t="s">
        <v>945</v>
      </c>
      <c r="G272" s="44"/>
    </row>
    <row r="273" spans="2:7" s="34" customFormat="1" ht="28.5" x14ac:dyDescent="0.25">
      <c r="B273" s="43"/>
      <c r="C273" s="47" t="s">
        <v>953</v>
      </c>
      <c r="D273" s="48" t="s">
        <v>954</v>
      </c>
      <c r="F273" s="2" t="s">
        <v>955</v>
      </c>
      <c r="G273" s="44"/>
    </row>
    <row r="274" spans="2:7" s="34" customFormat="1" x14ac:dyDescent="0.25">
      <c r="B274" s="43"/>
      <c r="C274" s="51"/>
      <c r="D274" s="52"/>
      <c r="F274" s="2" t="s">
        <v>956</v>
      </c>
      <c r="G274" s="44"/>
    </row>
    <row r="275" spans="2:7" s="34" customFormat="1" x14ac:dyDescent="0.25">
      <c r="B275" s="43"/>
      <c r="D275" s="43"/>
      <c r="F275" s="2" t="s">
        <v>957</v>
      </c>
      <c r="G275" s="44"/>
    </row>
    <row r="276" spans="2:7" s="34" customFormat="1" x14ac:dyDescent="0.25">
      <c r="B276" s="43"/>
      <c r="C276" s="34" t="s">
        <v>958</v>
      </c>
      <c r="F276" s="2" t="s">
        <v>959</v>
      </c>
      <c r="G276" s="44"/>
    </row>
    <row r="277" spans="2:7" s="34" customFormat="1" x14ac:dyDescent="0.25">
      <c r="B277" s="43"/>
      <c r="C277" s="53" t="s">
        <v>960</v>
      </c>
      <c r="D277" s="54">
        <v>45904</v>
      </c>
      <c r="E277" s="41"/>
      <c r="F277" s="2" t="s">
        <v>961</v>
      </c>
      <c r="G277" s="40"/>
    </row>
    <row r="278" spans="2:7" s="34" customFormat="1" x14ac:dyDescent="0.25">
      <c r="B278" s="43"/>
      <c r="C278" s="53" t="s">
        <v>962</v>
      </c>
      <c r="D278" s="54">
        <v>45911</v>
      </c>
      <c r="E278" s="41"/>
      <c r="F278" s="2" t="s">
        <v>963</v>
      </c>
      <c r="G278" s="40"/>
    </row>
    <row r="279" spans="2:7" s="34" customFormat="1" x14ac:dyDescent="0.25">
      <c r="B279" s="43"/>
      <c r="C279" s="53" t="s">
        <v>964</v>
      </c>
      <c r="D279" s="54">
        <v>45918</v>
      </c>
      <c r="F279" s="2" t="s">
        <v>887</v>
      </c>
      <c r="G279" s="44"/>
    </row>
    <row r="280" spans="2:7" s="34" customFormat="1" x14ac:dyDescent="0.25">
      <c r="B280" s="43"/>
      <c r="C280" s="55" t="s">
        <v>965</v>
      </c>
      <c r="D280" s="56">
        <v>45925</v>
      </c>
      <c r="F280" s="2" t="s">
        <v>949</v>
      </c>
      <c r="G280" s="44"/>
    </row>
    <row r="281" spans="2:7" s="34" customFormat="1" x14ac:dyDescent="0.25">
      <c r="B281" s="43"/>
      <c r="C281" s="57" t="s">
        <v>966</v>
      </c>
      <c r="D281" s="54">
        <v>45932</v>
      </c>
      <c r="F281" s="2" t="s">
        <v>950</v>
      </c>
      <c r="G281" s="44"/>
    </row>
    <row r="282" spans="2:7" s="34" customFormat="1" x14ac:dyDescent="0.25">
      <c r="B282" s="43"/>
      <c r="C282" s="53" t="s">
        <v>967</v>
      </c>
      <c r="D282" s="54">
        <v>45939</v>
      </c>
      <c r="F282" s="2" t="s">
        <v>968</v>
      </c>
      <c r="G282" s="44"/>
    </row>
    <row r="283" spans="2:7" s="34" customFormat="1" x14ac:dyDescent="0.25">
      <c r="B283" s="43"/>
      <c r="C283" s="57" t="s">
        <v>969</v>
      </c>
      <c r="D283" s="54">
        <v>45946</v>
      </c>
      <c r="F283" s="2" t="s">
        <v>952</v>
      </c>
      <c r="G283" s="44"/>
    </row>
    <row r="284" spans="2:7" s="34" customFormat="1" x14ac:dyDescent="0.25">
      <c r="B284" s="43"/>
      <c r="C284" s="53" t="s">
        <v>970</v>
      </c>
      <c r="D284" s="54">
        <v>45953</v>
      </c>
      <c r="F284" s="2" t="s">
        <v>971</v>
      </c>
      <c r="G284" s="44"/>
    </row>
    <row r="285" spans="2:7" s="34" customFormat="1" x14ac:dyDescent="0.2">
      <c r="B285" s="43"/>
      <c r="C285" s="55" t="s">
        <v>972</v>
      </c>
      <c r="D285" s="56">
        <v>45960</v>
      </c>
      <c r="F285" s="1" t="s">
        <v>953</v>
      </c>
      <c r="G285" s="44"/>
    </row>
    <row r="286" spans="2:7" s="34" customFormat="1" ht="14.25" x14ac:dyDescent="0.2">
      <c r="B286" s="43"/>
      <c r="C286" s="53" t="s">
        <v>973</v>
      </c>
      <c r="D286" s="54">
        <v>45967</v>
      </c>
      <c r="G286" s="44"/>
    </row>
    <row r="287" spans="2:7" s="34" customFormat="1" ht="14.25" x14ac:dyDescent="0.2">
      <c r="B287" s="43"/>
      <c r="C287" s="53" t="s">
        <v>974</v>
      </c>
      <c r="D287" s="54">
        <v>45974</v>
      </c>
      <c r="G287" s="44"/>
    </row>
    <row r="288" spans="2:7" s="34" customFormat="1" ht="14.25" x14ac:dyDescent="0.2">
      <c r="B288" s="43"/>
      <c r="C288" s="53" t="s">
        <v>975</v>
      </c>
      <c r="D288" s="54">
        <v>45981</v>
      </c>
      <c r="G288" s="44"/>
    </row>
    <row r="289" spans="2:7" s="34" customFormat="1" ht="14.25" x14ac:dyDescent="0.2">
      <c r="B289" s="43"/>
      <c r="C289" s="55" t="s">
        <v>976</v>
      </c>
      <c r="D289" s="56">
        <v>45988</v>
      </c>
      <c r="G289" s="44"/>
    </row>
    <row r="290" spans="2:7" s="34" customFormat="1" ht="14.25" x14ac:dyDescent="0.2">
      <c r="B290" s="43"/>
      <c r="C290" s="57" t="s">
        <v>977</v>
      </c>
      <c r="D290" s="54">
        <v>45630</v>
      </c>
      <c r="G290" s="44"/>
    </row>
    <row r="291" spans="2:7" s="34" customFormat="1" ht="14.25" x14ac:dyDescent="0.2">
      <c r="B291" s="43"/>
      <c r="C291" s="57" t="s">
        <v>978</v>
      </c>
      <c r="D291" s="54">
        <v>45637</v>
      </c>
      <c r="G291" s="44"/>
    </row>
    <row r="292" spans="2:7" s="34" customFormat="1" ht="14.25" x14ac:dyDescent="0.2">
      <c r="B292" s="43"/>
      <c r="C292" s="57" t="s">
        <v>979</v>
      </c>
      <c r="D292" s="54">
        <v>45644</v>
      </c>
      <c r="G292" s="44"/>
    </row>
    <row r="293" spans="2:7" s="34" customFormat="1" ht="14.25" x14ac:dyDescent="0.2">
      <c r="B293" s="43"/>
      <c r="C293" s="58" t="s">
        <v>980</v>
      </c>
      <c r="D293" s="56">
        <v>45651</v>
      </c>
      <c r="G293" s="44"/>
    </row>
    <row r="294" spans="2:7" s="34" customFormat="1" ht="14.25" x14ac:dyDescent="0.2">
      <c r="B294" s="43"/>
      <c r="C294" s="53" t="s">
        <v>981</v>
      </c>
      <c r="D294" s="59">
        <v>46023</v>
      </c>
      <c r="G294" s="44"/>
    </row>
    <row r="295" spans="2:7" s="34" customFormat="1" ht="14.25" x14ac:dyDescent="0.2">
      <c r="B295" s="43"/>
      <c r="C295" s="57" t="s">
        <v>982</v>
      </c>
      <c r="D295" s="59">
        <v>45665</v>
      </c>
      <c r="G295" s="44"/>
    </row>
    <row r="296" spans="2:7" s="34" customFormat="1" ht="14.25" x14ac:dyDescent="0.2">
      <c r="B296" s="43"/>
      <c r="C296" s="57" t="s">
        <v>983</v>
      </c>
      <c r="D296" s="59">
        <v>46037</v>
      </c>
      <c r="G296" s="44"/>
    </row>
    <row r="297" spans="2:7" s="34" customFormat="1" ht="14.25" x14ac:dyDescent="0.2">
      <c r="C297" s="57" t="s">
        <v>984</v>
      </c>
      <c r="D297" s="59">
        <v>46044</v>
      </c>
      <c r="G297" s="44"/>
    </row>
    <row r="298" spans="2:7" s="34" customFormat="1" ht="14.25" x14ac:dyDescent="0.2">
      <c r="B298" s="43"/>
      <c r="C298" s="58" t="s">
        <v>985</v>
      </c>
      <c r="D298" s="60">
        <v>46051</v>
      </c>
      <c r="G298" s="44"/>
    </row>
    <row r="299" spans="2:7" s="34" customFormat="1" ht="14.25" x14ac:dyDescent="0.2">
      <c r="B299" s="43"/>
      <c r="C299" s="57" t="s">
        <v>986</v>
      </c>
      <c r="D299" s="59">
        <v>46058</v>
      </c>
      <c r="G299" s="44"/>
    </row>
    <row r="300" spans="2:7" s="34" customFormat="1" ht="14.25" x14ac:dyDescent="0.2">
      <c r="B300" s="43"/>
      <c r="C300" s="57" t="s">
        <v>987</v>
      </c>
      <c r="D300" s="59">
        <v>46065</v>
      </c>
      <c r="G300" s="44"/>
    </row>
    <row r="301" spans="2:7" s="34" customFormat="1" ht="14.25" x14ac:dyDescent="0.2">
      <c r="B301" s="43"/>
      <c r="C301" s="57" t="s">
        <v>988</v>
      </c>
      <c r="D301" s="59">
        <v>46072</v>
      </c>
      <c r="G301" s="44"/>
    </row>
    <row r="302" spans="2:7" s="34" customFormat="1" ht="14.25" x14ac:dyDescent="0.2">
      <c r="B302" s="43"/>
      <c r="C302" s="58" t="s">
        <v>989</v>
      </c>
      <c r="D302" s="60">
        <v>46079</v>
      </c>
      <c r="G302" s="44"/>
    </row>
    <row r="303" spans="2:7" s="34" customFormat="1" ht="14.25" x14ac:dyDescent="0.2">
      <c r="B303" s="43"/>
      <c r="C303" s="57" t="s">
        <v>990</v>
      </c>
      <c r="D303" s="59">
        <v>46086</v>
      </c>
      <c r="G303" s="44"/>
    </row>
    <row r="304" spans="2:7" s="34" customFormat="1" ht="14.25" x14ac:dyDescent="0.2">
      <c r="B304" s="43"/>
      <c r="C304" s="57" t="s">
        <v>991</v>
      </c>
      <c r="D304" s="59">
        <v>46093</v>
      </c>
      <c r="G304" s="44"/>
    </row>
    <row r="305" spans="2:7" s="34" customFormat="1" ht="14.25" x14ac:dyDescent="0.2">
      <c r="B305" s="43"/>
      <c r="C305" s="57" t="s">
        <v>992</v>
      </c>
      <c r="D305" s="59">
        <v>46100</v>
      </c>
      <c r="G305" s="44"/>
    </row>
    <row r="306" spans="2:7" s="34" customFormat="1" ht="14.25" x14ac:dyDescent="0.2">
      <c r="B306" s="43"/>
      <c r="C306" s="58" t="s">
        <v>993</v>
      </c>
      <c r="D306" s="60">
        <v>46107</v>
      </c>
      <c r="G306" s="44"/>
    </row>
    <row r="307" spans="2:7" s="34" customFormat="1" ht="14.25" x14ac:dyDescent="0.2">
      <c r="B307" s="43"/>
      <c r="C307" s="57" t="s">
        <v>994</v>
      </c>
      <c r="D307" s="54">
        <v>46114</v>
      </c>
      <c r="G307" s="44"/>
    </row>
    <row r="308" spans="2:7" s="34" customFormat="1" ht="14.25" x14ac:dyDescent="0.2">
      <c r="B308" s="43"/>
      <c r="C308" s="57" t="s">
        <v>995</v>
      </c>
      <c r="D308" s="54">
        <v>46121</v>
      </c>
      <c r="G308" s="44"/>
    </row>
    <row r="309" spans="2:7" s="34" customFormat="1" ht="14.25" x14ac:dyDescent="0.2">
      <c r="B309" s="43"/>
      <c r="C309" s="57" t="s">
        <v>996</v>
      </c>
      <c r="D309" s="54">
        <v>46128</v>
      </c>
      <c r="G309" s="44"/>
    </row>
    <row r="310" spans="2:7" s="34" customFormat="1" ht="14.25" x14ac:dyDescent="0.2">
      <c r="B310" s="43"/>
      <c r="C310" s="57" t="s">
        <v>997</v>
      </c>
      <c r="D310" s="54">
        <v>46135</v>
      </c>
      <c r="G310" s="44"/>
    </row>
    <row r="311" spans="2:7" s="34" customFormat="1" ht="14.25" x14ac:dyDescent="0.2">
      <c r="B311" s="43"/>
      <c r="C311" s="58" t="s">
        <v>998</v>
      </c>
      <c r="D311" s="56">
        <v>46142</v>
      </c>
      <c r="G311" s="44"/>
    </row>
    <row r="312" spans="2:7" s="34" customFormat="1" ht="14.25" x14ac:dyDescent="0.2">
      <c r="B312" s="43"/>
      <c r="C312" s="53" t="s">
        <v>999</v>
      </c>
      <c r="D312" s="54">
        <v>46149</v>
      </c>
      <c r="G312" s="44"/>
    </row>
    <row r="313" spans="2:7" s="34" customFormat="1" ht="14.25" x14ac:dyDescent="0.2">
      <c r="B313" s="43"/>
      <c r="C313" s="53" t="s">
        <v>1000</v>
      </c>
      <c r="D313" s="54">
        <v>46156</v>
      </c>
      <c r="G313" s="44"/>
    </row>
    <row r="314" spans="2:7" s="34" customFormat="1" ht="14.25" x14ac:dyDescent="0.2">
      <c r="B314" s="43"/>
      <c r="C314" s="53" t="s">
        <v>1001</v>
      </c>
      <c r="D314" s="54">
        <v>46163</v>
      </c>
      <c r="G314" s="44"/>
    </row>
    <row r="315" spans="2:7" s="34" customFormat="1" ht="14.25" x14ac:dyDescent="0.2">
      <c r="B315" s="43"/>
      <c r="C315" s="55" t="s">
        <v>1002</v>
      </c>
      <c r="D315" s="56">
        <v>46170</v>
      </c>
      <c r="G315" s="44"/>
    </row>
    <row r="316" spans="2:7" s="34" customFormat="1" ht="14.25" x14ac:dyDescent="0.2">
      <c r="B316" s="43"/>
      <c r="C316" s="57" t="s">
        <v>1003</v>
      </c>
      <c r="D316" s="54">
        <v>46177</v>
      </c>
      <c r="G316" s="44"/>
    </row>
    <row r="317" spans="2:7" s="34" customFormat="1" ht="14.25" x14ac:dyDescent="0.2">
      <c r="B317" s="43"/>
      <c r="C317" s="57" t="s">
        <v>1004</v>
      </c>
      <c r="D317" s="54">
        <v>46184</v>
      </c>
      <c r="G317" s="44"/>
    </row>
    <row r="318" spans="2:7" s="34" customFormat="1" ht="14.25" x14ac:dyDescent="0.2">
      <c r="B318" s="43"/>
      <c r="C318" s="57" t="s">
        <v>1005</v>
      </c>
      <c r="D318" s="54">
        <v>46191</v>
      </c>
      <c r="G318" s="44"/>
    </row>
    <row r="319" spans="2:7" s="34" customFormat="1" ht="14.25" x14ac:dyDescent="0.2">
      <c r="B319" s="43"/>
      <c r="C319" s="58" t="s">
        <v>1006</v>
      </c>
      <c r="D319" s="56">
        <v>46198</v>
      </c>
      <c r="G319" s="44"/>
    </row>
    <row r="320" spans="2:7" s="34" customFormat="1" ht="14.25" x14ac:dyDescent="0.2">
      <c r="B320" s="43"/>
      <c r="C320" s="57" t="s">
        <v>1007</v>
      </c>
      <c r="D320" s="54">
        <v>46205</v>
      </c>
      <c r="G320" s="44"/>
    </row>
    <row r="321" spans="2:7" s="34" customFormat="1" ht="14.25" x14ac:dyDescent="0.2">
      <c r="B321" s="43"/>
      <c r="C321" s="57" t="s">
        <v>1008</v>
      </c>
      <c r="D321" s="54">
        <v>46212</v>
      </c>
      <c r="G321" s="44"/>
    </row>
    <row r="322" spans="2:7" s="34" customFormat="1" ht="14.25" x14ac:dyDescent="0.2">
      <c r="B322" s="43"/>
      <c r="C322" s="57" t="s">
        <v>1009</v>
      </c>
      <c r="D322" s="54">
        <v>46219</v>
      </c>
      <c r="G322" s="44"/>
    </row>
    <row r="323" spans="2:7" s="34" customFormat="1" ht="14.25" x14ac:dyDescent="0.2">
      <c r="B323" s="43"/>
      <c r="C323" s="57" t="s">
        <v>1010</v>
      </c>
      <c r="D323" s="54">
        <v>46226</v>
      </c>
      <c r="G323" s="44"/>
    </row>
    <row r="324" spans="2:7" s="34" customFormat="1" ht="14.25" x14ac:dyDescent="0.2">
      <c r="B324" s="43"/>
      <c r="C324" s="58" t="s">
        <v>1011</v>
      </c>
      <c r="D324" s="56">
        <v>46233</v>
      </c>
      <c r="G324" s="44"/>
    </row>
    <row r="325" spans="2:7" s="34" customFormat="1" ht="14.25" x14ac:dyDescent="0.2">
      <c r="B325" s="43"/>
      <c r="C325" s="53" t="s">
        <v>1012</v>
      </c>
      <c r="D325" s="54">
        <v>46240</v>
      </c>
      <c r="G325" s="44"/>
    </row>
    <row r="326" spans="2:7" s="34" customFormat="1" ht="14.25" x14ac:dyDescent="0.2">
      <c r="B326" s="43"/>
      <c r="C326" s="53" t="s">
        <v>1013</v>
      </c>
      <c r="D326" s="54">
        <v>46247</v>
      </c>
      <c r="G326" s="44"/>
    </row>
    <row r="327" spans="2:7" s="34" customFormat="1" ht="14.25" x14ac:dyDescent="0.2">
      <c r="B327" s="43"/>
      <c r="C327" s="53" t="s">
        <v>1014</v>
      </c>
      <c r="D327" s="54">
        <v>46254</v>
      </c>
      <c r="G327" s="44"/>
    </row>
    <row r="328" spans="2:7" s="34" customFormat="1" ht="14.25" x14ac:dyDescent="0.2">
      <c r="B328" s="43"/>
      <c r="C328" s="61" t="s">
        <v>1015</v>
      </c>
      <c r="D328" s="62">
        <v>46261</v>
      </c>
      <c r="G328" s="44"/>
    </row>
    <row r="329" spans="2:7" s="34" customFormat="1" ht="14.25" x14ac:dyDescent="0.2">
      <c r="B329" s="43"/>
      <c r="D329" s="43"/>
      <c r="G329" s="44"/>
    </row>
    <row r="330" spans="2:7" s="34" customFormat="1" ht="14.25" x14ac:dyDescent="0.2">
      <c r="B330" s="43"/>
      <c r="D330" s="43"/>
      <c r="G330" s="44"/>
    </row>
    <row r="331" spans="2:7" s="34" customFormat="1" ht="14.25" x14ac:dyDescent="0.2">
      <c r="B331" s="43"/>
      <c r="C331" s="63" t="s">
        <v>1016</v>
      </c>
      <c r="D331" s="34" t="s">
        <v>1017</v>
      </c>
      <c r="G331" s="44"/>
    </row>
    <row r="332" spans="2:7" s="34" customFormat="1" ht="14.25" x14ac:dyDescent="0.2">
      <c r="B332" s="43"/>
      <c r="C332" s="34" t="s">
        <v>1018</v>
      </c>
      <c r="D332" s="34" t="s">
        <v>1019</v>
      </c>
      <c r="G332" s="44"/>
    </row>
    <row r="333" spans="2:7" s="34" customFormat="1" ht="14.25" x14ac:dyDescent="0.2">
      <c r="B333" s="43"/>
      <c r="C333" s="34" t="s">
        <v>1020</v>
      </c>
      <c r="D333" s="34" t="s">
        <v>1021</v>
      </c>
      <c r="G333" s="44"/>
    </row>
    <row r="334" spans="2:7" s="34" customFormat="1" ht="14.25" x14ac:dyDescent="0.2">
      <c r="B334" s="43"/>
      <c r="C334" s="34" t="s">
        <v>1022</v>
      </c>
      <c r="D334" s="34" t="s">
        <v>1023</v>
      </c>
      <c r="G334" s="44"/>
    </row>
    <row r="335" spans="2:7" s="34" customFormat="1" ht="14.25" x14ac:dyDescent="0.2">
      <c r="B335" s="43"/>
      <c r="C335" s="34" t="s">
        <v>1024</v>
      </c>
      <c r="D335" s="34" t="s">
        <v>1025</v>
      </c>
      <c r="G335" s="44"/>
    </row>
    <row r="336" spans="2:7" s="34" customFormat="1" ht="14.25" x14ac:dyDescent="0.2">
      <c r="B336" s="43"/>
      <c r="C336" s="34" t="s">
        <v>1026</v>
      </c>
      <c r="D336" s="34" t="s">
        <v>1027</v>
      </c>
      <c r="G336" s="44"/>
    </row>
    <row r="337" spans="2:7" s="34" customFormat="1" ht="14.25" x14ac:dyDescent="0.2">
      <c r="B337" s="43"/>
      <c r="C337" s="34" t="s">
        <v>1028</v>
      </c>
      <c r="D337" s="34" t="s">
        <v>1029</v>
      </c>
      <c r="G337" s="44"/>
    </row>
    <row r="338" spans="2:7" s="34" customFormat="1" ht="14.25" x14ac:dyDescent="0.2">
      <c r="B338" s="43"/>
      <c r="C338" s="34" t="s">
        <v>1030</v>
      </c>
      <c r="D338" s="34" t="s">
        <v>1031</v>
      </c>
      <c r="G338" s="44"/>
    </row>
    <row r="339" spans="2:7" s="34" customFormat="1" ht="14.25" x14ac:dyDescent="0.2">
      <c r="B339" s="43"/>
      <c r="C339" s="34" t="s">
        <v>1032</v>
      </c>
      <c r="D339" s="34" t="s">
        <v>1033</v>
      </c>
      <c r="G339" s="44"/>
    </row>
    <row r="340" spans="2:7" s="34" customFormat="1" ht="14.25" x14ac:dyDescent="0.2">
      <c r="B340" s="43"/>
      <c r="C340" s="34" t="s">
        <v>1034</v>
      </c>
      <c r="D340" s="34" t="s">
        <v>1035</v>
      </c>
      <c r="G340" s="44"/>
    </row>
    <row r="341" spans="2:7" s="34" customFormat="1" ht="14.25" x14ac:dyDescent="0.2">
      <c r="B341" s="43"/>
      <c r="C341" s="34" t="s">
        <v>1036</v>
      </c>
      <c r="D341" s="34" t="s">
        <v>1037</v>
      </c>
      <c r="G341" s="44"/>
    </row>
    <row r="342" spans="2:7" s="34" customFormat="1" ht="14.25" x14ac:dyDescent="0.2">
      <c r="B342" s="43"/>
      <c r="C342" s="34" t="s">
        <v>1038</v>
      </c>
      <c r="D342" s="34" t="s">
        <v>1039</v>
      </c>
      <c r="G342" s="44"/>
    </row>
    <row r="343" spans="2:7" s="34" customFormat="1" ht="14.25" x14ac:dyDescent="0.2">
      <c r="B343" s="43"/>
      <c r="C343" s="34" t="s">
        <v>1040</v>
      </c>
      <c r="D343" s="34" t="s">
        <v>1041</v>
      </c>
      <c r="G343" s="44"/>
    </row>
    <row r="344" spans="2:7" s="34" customFormat="1" ht="14.25" x14ac:dyDescent="0.2">
      <c r="B344" s="43"/>
      <c r="C344" s="34" t="s">
        <v>1042</v>
      </c>
      <c r="D344" s="34" t="s">
        <v>1043</v>
      </c>
      <c r="G344" s="44"/>
    </row>
    <row r="345" spans="2:7" s="34" customFormat="1" ht="14.25" x14ac:dyDescent="0.2">
      <c r="B345" s="43"/>
      <c r="C345" s="34" t="s">
        <v>1044</v>
      </c>
      <c r="D345" s="34" t="s">
        <v>1045</v>
      </c>
      <c r="G345" s="44"/>
    </row>
    <row r="346" spans="2:7" s="34" customFormat="1" ht="14.25" x14ac:dyDescent="0.2">
      <c r="B346" s="43"/>
      <c r="C346" s="34" t="s">
        <v>1046</v>
      </c>
      <c r="D346" s="34" t="s">
        <v>1047</v>
      </c>
      <c r="G346" s="44"/>
    </row>
    <row r="347" spans="2:7" s="34" customFormat="1" ht="14.25" x14ac:dyDescent="0.2">
      <c r="B347" s="43"/>
      <c r="C347" s="34" t="s">
        <v>1048</v>
      </c>
      <c r="D347" s="34" t="s">
        <v>1049</v>
      </c>
      <c r="G347" s="44"/>
    </row>
    <row r="348" spans="2:7" s="34" customFormat="1" ht="14.25" x14ac:dyDescent="0.2">
      <c r="B348" s="43"/>
      <c r="C348" s="34" t="s">
        <v>1050</v>
      </c>
      <c r="D348" s="34" t="s">
        <v>1051</v>
      </c>
      <c r="G348" s="44"/>
    </row>
    <row r="349" spans="2:7" s="34" customFormat="1" ht="14.25" x14ac:dyDescent="0.2">
      <c r="B349" s="43"/>
      <c r="C349" s="34" t="s">
        <v>1052</v>
      </c>
      <c r="D349" s="34" t="s">
        <v>1053</v>
      </c>
      <c r="G349" s="44"/>
    </row>
    <row r="350" spans="2:7" s="34" customFormat="1" ht="14.25" x14ac:dyDescent="0.2">
      <c r="B350" s="43"/>
      <c r="C350" s="34" t="s">
        <v>1054</v>
      </c>
      <c r="D350" s="34" t="s">
        <v>1055</v>
      </c>
      <c r="G350" s="44"/>
    </row>
    <row r="351" spans="2:7" s="34" customFormat="1" ht="14.25" x14ac:dyDescent="0.2">
      <c r="B351" s="43"/>
      <c r="C351" s="34" t="s">
        <v>1056</v>
      </c>
      <c r="D351" s="34" t="s">
        <v>1057</v>
      </c>
      <c r="G351" s="44"/>
    </row>
    <row r="352" spans="2:7" s="34" customFormat="1" ht="14.25" x14ac:dyDescent="0.2">
      <c r="B352" s="43"/>
      <c r="C352" s="34" t="s">
        <v>1058</v>
      </c>
      <c r="D352" s="34" t="s">
        <v>1059</v>
      </c>
      <c r="G352" s="44"/>
    </row>
    <row r="353" spans="2:7" s="34" customFormat="1" ht="14.25" x14ac:dyDescent="0.2">
      <c r="B353" s="43"/>
      <c r="C353" s="34" t="s">
        <v>1060</v>
      </c>
      <c r="D353" s="34" t="s">
        <v>1061</v>
      </c>
      <c r="G353" s="44"/>
    </row>
    <row r="354" spans="2:7" s="34" customFormat="1" ht="14.25" x14ac:dyDescent="0.2">
      <c r="B354" s="43"/>
      <c r="C354" s="34" t="s">
        <v>1062</v>
      </c>
      <c r="D354" s="34" t="s">
        <v>1063</v>
      </c>
      <c r="G354" s="44"/>
    </row>
    <row r="355" spans="2:7" s="34" customFormat="1" ht="14.25" x14ac:dyDescent="0.2">
      <c r="B355" s="43"/>
      <c r="C355" s="34" t="s">
        <v>1064</v>
      </c>
      <c r="D355" s="34" t="s">
        <v>1065</v>
      </c>
      <c r="G355" s="44"/>
    </row>
    <row r="356" spans="2:7" s="34" customFormat="1" ht="14.25" x14ac:dyDescent="0.2">
      <c r="B356" s="43"/>
      <c r="C356" s="34" t="s">
        <v>1066</v>
      </c>
      <c r="D356" s="34" t="s">
        <v>1067</v>
      </c>
      <c r="G356" s="44"/>
    </row>
    <row r="357" spans="2:7" s="34" customFormat="1" ht="14.25" x14ac:dyDescent="0.2">
      <c r="B357" s="43"/>
      <c r="C357" s="34" t="s">
        <v>1068</v>
      </c>
      <c r="D357" s="34" t="s">
        <v>1069</v>
      </c>
      <c r="G357" s="44"/>
    </row>
    <row r="358" spans="2:7" s="34" customFormat="1" ht="14.25" x14ac:dyDescent="0.2">
      <c r="B358" s="43"/>
      <c r="C358" s="34" t="s">
        <v>1070</v>
      </c>
      <c r="D358" s="34" t="s">
        <v>1071</v>
      </c>
      <c r="G358" s="44"/>
    </row>
    <row r="359" spans="2:7" s="34" customFormat="1" ht="14.25" x14ac:dyDescent="0.2">
      <c r="B359" s="43"/>
      <c r="C359" s="34" t="s">
        <v>1072</v>
      </c>
      <c r="D359" s="34" t="s">
        <v>1073</v>
      </c>
      <c r="G359" s="44"/>
    </row>
    <row r="360" spans="2:7" s="34" customFormat="1" ht="14.25" x14ac:dyDescent="0.2">
      <c r="B360" s="43"/>
      <c r="C360" s="34" t="s">
        <v>1074</v>
      </c>
      <c r="D360" s="34" t="s">
        <v>1075</v>
      </c>
      <c r="G360" s="44"/>
    </row>
    <row r="361" spans="2:7" s="34" customFormat="1" ht="14.25" x14ac:dyDescent="0.2">
      <c r="B361" s="43"/>
      <c r="C361" s="34" t="s">
        <v>1076</v>
      </c>
      <c r="D361" s="34" t="s">
        <v>1077</v>
      </c>
      <c r="G361" s="44"/>
    </row>
    <row r="362" spans="2:7" s="34" customFormat="1" ht="14.25" x14ac:dyDescent="0.2">
      <c r="B362" s="43"/>
      <c r="C362" s="45"/>
      <c r="D362" s="45"/>
      <c r="G362" s="44"/>
    </row>
  </sheetData>
  <sheetProtection algorithmName="SHA-512" hashValue="devQbmLrjuBpMNY64x+sWtRxp/XrxqpPYJj6SUE3uu7ounnQ7Gh108zlErhmLgivWQoaXIwJqsaf1fbjwILxlg==" saltValue="M8xIOjWicoNv+ciyNHwWbw==" spinCount="100000" sheet="1" objects="1" scenarios="1"/>
  <mergeCells count="2">
    <mergeCell ref="E231:G231"/>
    <mergeCell ref="E230:G230"/>
  </mergeCells>
  <conditionalFormatting sqref="C232">
    <cfRule type="duplicateValues" dxfId="1" priority="1"/>
  </conditionalFormatting>
  <conditionalFormatting sqref="D1:D231">
    <cfRule type="duplicateValues" dxfId="0" priority="2"/>
  </conditionalFormatting>
  <hyperlinks>
    <hyperlink ref="F263" r:id="rId1" display="M@"/>
  </hyperlinks>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34"/>
  <sheetViews>
    <sheetView zoomScale="70" zoomScaleNormal="70" workbookViewId="0">
      <selection activeCell="D38" sqref="D38"/>
    </sheetView>
  </sheetViews>
  <sheetFormatPr defaultColWidth="9.140625" defaultRowHeight="15" x14ac:dyDescent="0.25"/>
  <cols>
    <col min="1" max="1" width="31" style="3" bestFit="1" customWidth="1"/>
    <col min="2" max="2" width="30" style="3" customWidth="1"/>
    <col min="3" max="3" width="29.5703125" style="3" customWidth="1"/>
    <col min="4" max="4" width="16.85546875" style="3" customWidth="1"/>
    <col min="5" max="5" width="15.7109375" style="3" customWidth="1"/>
    <col min="6" max="6" width="20.28515625" style="3" customWidth="1"/>
    <col min="7" max="7" width="20" style="3" customWidth="1"/>
    <col min="8" max="8" width="19.140625" style="69" customWidth="1"/>
    <col min="9" max="9" width="25.28515625" style="3" customWidth="1"/>
    <col min="10" max="10" width="21.85546875" style="3" customWidth="1"/>
    <col min="11" max="11" width="21.28515625" style="3" customWidth="1"/>
    <col min="12" max="16384" width="9.140625" style="3"/>
  </cols>
  <sheetData>
    <row r="1" spans="1:11" ht="23.25" x14ac:dyDescent="0.25">
      <c r="A1" s="140" t="s">
        <v>1078</v>
      </c>
      <c r="B1" s="140"/>
      <c r="C1" s="140"/>
      <c r="D1" s="140"/>
      <c r="E1" s="140"/>
      <c r="F1" s="140"/>
      <c r="G1" s="140"/>
      <c r="H1" s="140"/>
      <c r="I1" s="140"/>
      <c r="J1" s="140"/>
      <c r="K1" s="140"/>
    </row>
    <row r="2" spans="1:11" ht="24" thickBot="1" x14ac:dyDescent="0.3">
      <c r="A2" s="139" t="s">
        <v>1079</v>
      </c>
      <c r="B2" s="139"/>
      <c r="C2" s="139"/>
      <c r="D2" s="139"/>
      <c r="E2" s="139"/>
      <c r="F2" s="139"/>
      <c r="G2" s="139"/>
      <c r="H2" s="139"/>
      <c r="I2" s="139"/>
      <c r="J2" s="139"/>
      <c r="K2" s="139"/>
    </row>
    <row r="3" spans="1:11" ht="16.5" thickTop="1" thickBot="1" x14ac:dyDescent="0.3"/>
    <row r="4" spans="1:11" ht="21" thickBot="1" x14ac:dyDescent="0.3">
      <c r="A4" s="4" t="s">
        <v>1080</v>
      </c>
      <c r="B4" s="4"/>
      <c r="K4" s="5" t="s">
        <v>1081</v>
      </c>
    </row>
    <row r="5" spans="1:11" ht="18" hidden="1" x14ac:dyDescent="0.25">
      <c r="A5" s="4" t="s">
        <v>1082</v>
      </c>
      <c r="B5" s="4"/>
    </row>
    <row r="6" spans="1:11" ht="18" x14ac:dyDescent="0.25">
      <c r="A6" s="4" t="s">
        <v>1083</v>
      </c>
      <c r="B6" s="4" t="s">
        <v>1084</v>
      </c>
    </row>
    <row r="7" spans="1:11" ht="18" x14ac:dyDescent="0.25">
      <c r="A7" s="4" t="s">
        <v>1085</v>
      </c>
      <c r="B7" s="4"/>
    </row>
    <row r="8" spans="1:11" ht="18" x14ac:dyDescent="0.25">
      <c r="A8" s="4" t="s">
        <v>1086</v>
      </c>
      <c r="B8" s="4" t="s">
        <v>1087</v>
      </c>
    </row>
    <row r="9" spans="1:11" ht="18" x14ac:dyDescent="0.25">
      <c r="A9" s="4" t="s">
        <v>1088</v>
      </c>
      <c r="B9" s="4"/>
    </row>
    <row r="10" spans="1:11" ht="18" x14ac:dyDescent="0.25">
      <c r="A10" s="4" t="s">
        <v>3</v>
      </c>
      <c r="B10" s="68"/>
      <c r="C10" s="67"/>
      <c r="D10" s="67"/>
      <c r="E10" s="67"/>
      <c r="F10" s="67"/>
      <c r="G10" s="67"/>
      <c r="H10" s="70"/>
      <c r="I10" s="67"/>
      <c r="J10" s="67"/>
    </row>
    <row r="12" spans="1:11" ht="39" customHeight="1" x14ac:dyDescent="0.25">
      <c r="A12" s="12" t="s">
        <v>1089</v>
      </c>
      <c r="B12" s="12" t="s">
        <v>1090</v>
      </c>
      <c r="C12" s="12" t="s">
        <v>1091</v>
      </c>
      <c r="D12" s="12" t="s">
        <v>1092</v>
      </c>
      <c r="E12" s="6" t="s">
        <v>1093</v>
      </c>
      <c r="F12" s="6" t="s">
        <v>1094</v>
      </c>
      <c r="G12" s="6" t="s">
        <v>1095</v>
      </c>
      <c r="H12" s="6" t="s">
        <v>1096</v>
      </c>
      <c r="I12" s="6" t="s">
        <v>889</v>
      </c>
      <c r="J12" s="6" t="s">
        <v>884</v>
      </c>
      <c r="K12" s="12" t="s">
        <v>1097</v>
      </c>
    </row>
    <row r="13" spans="1:11" s="75" customFormat="1" ht="45" x14ac:dyDescent="0.25">
      <c r="A13" s="71"/>
      <c r="B13" s="71"/>
      <c r="C13" s="71"/>
      <c r="D13" s="71"/>
      <c r="E13" s="71"/>
      <c r="F13" s="71"/>
      <c r="G13" s="72">
        <f>D13*F13</f>
        <v>0</v>
      </c>
      <c r="H13" s="73" t="s">
        <v>962</v>
      </c>
      <c r="I13" s="71"/>
      <c r="J13" s="74" t="s">
        <v>1098</v>
      </c>
      <c r="K13" s="71"/>
    </row>
    <row r="14" spans="1:11" s="75" customFormat="1" x14ac:dyDescent="0.25">
      <c r="A14" s="71"/>
      <c r="B14" s="71"/>
      <c r="C14" s="71"/>
      <c r="D14" s="71"/>
      <c r="E14" s="71"/>
      <c r="F14" s="71"/>
      <c r="G14" s="72">
        <f t="shared" ref="G14:G22" si="0">D14*F14</f>
        <v>0</v>
      </c>
      <c r="H14" s="73"/>
      <c r="I14" s="71"/>
      <c r="J14" s="74"/>
      <c r="K14" s="71"/>
    </row>
    <row r="15" spans="1:11" s="75" customFormat="1" x14ac:dyDescent="0.25">
      <c r="A15" s="71"/>
      <c r="B15" s="71"/>
      <c r="C15" s="71"/>
      <c r="D15" s="71"/>
      <c r="E15" s="71"/>
      <c r="F15" s="71"/>
      <c r="G15" s="72">
        <f t="shared" si="0"/>
        <v>0</v>
      </c>
      <c r="H15" s="73"/>
      <c r="I15" s="71"/>
      <c r="J15" s="71"/>
      <c r="K15" s="71"/>
    </row>
    <row r="16" spans="1:11" s="75" customFormat="1" x14ac:dyDescent="0.25">
      <c r="A16" s="71"/>
      <c r="B16" s="71"/>
      <c r="C16" s="71"/>
      <c r="D16" s="71"/>
      <c r="E16" s="71"/>
      <c r="F16" s="71"/>
      <c r="G16" s="72">
        <f t="shared" si="0"/>
        <v>0</v>
      </c>
      <c r="H16" s="73"/>
      <c r="I16" s="71"/>
      <c r="J16" s="71"/>
      <c r="K16" s="71"/>
    </row>
    <row r="17" spans="1:11" s="75" customFormat="1" x14ac:dyDescent="0.25">
      <c r="A17" s="71"/>
      <c r="B17" s="71"/>
      <c r="C17" s="71"/>
      <c r="D17" s="71"/>
      <c r="E17" s="71"/>
      <c r="F17" s="71"/>
      <c r="G17" s="72">
        <f t="shared" si="0"/>
        <v>0</v>
      </c>
      <c r="H17" s="73"/>
      <c r="I17" s="71"/>
      <c r="J17" s="71"/>
      <c r="K17" s="71"/>
    </row>
    <row r="18" spans="1:11" s="75" customFormat="1" x14ac:dyDescent="0.25">
      <c r="A18" s="71"/>
      <c r="B18" s="71"/>
      <c r="C18" s="71"/>
      <c r="D18" s="71"/>
      <c r="E18" s="71"/>
      <c r="F18" s="71"/>
      <c r="G18" s="72">
        <f t="shared" si="0"/>
        <v>0</v>
      </c>
      <c r="H18" s="73"/>
      <c r="I18" s="71"/>
      <c r="J18" s="71"/>
      <c r="K18" s="71"/>
    </row>
    <row r="19" spans="1:11" s="75" customFormat="1" x14ac:dyDescent="0.25">
      <c r="A19" s="71"/>
      <c r="B19" s="71"/>
      <c r="C19" s="71"/>
      <c r="D19" s="71"/>
      <c r="E19" s="71"/>
      <c r="F19" s="71"/>
      <c r="G19" s="72">
        <f t="shared" si="0"/>
        <v>0</v>
      </c>
      <c r="H19" s="73"/>
      <c r="I19" s="71"/>
      <c r="J19" s="71"/>
      <c r="K19" s="71"/>
    </row>
    <row r="20" spans="1:11" s="75" customFormat="1" x14ac:dyDescent="0.25">
      <c r="A20" s="71"/>
      <c r="B20" s="71"/>
      <c r="C20" s="71"/>
      <c r="D20" s="71"/>
      <c r="E20" s="71"/>
      <c r="F20" s="71"/>
      <c r="G20" s="72">
        <f t="shared" si="0"/>
        <v>0</v>
      </c>
      <c r="H20" s="73"/>
      <c r="I20" s="71"/>
      <c r="J20" s="71"/>
      <c r="K20" s="71"/>
    </row>
    <row r="21" spans="1:11" s="75" customFormat="1" x14ac:dyDescent="0.25">
      <c r="A21" s="71"/>
      <c r="B21" s="71"/>
      <c r="C21" s="71"/>
      <c r="D21" s="71"/>
      <c r="E21" s="71"/>
      <c r="F21" s="71"/>
      <c r="G21" s="72">
        <f t="shared" si="0"/>
        <v>0</v>
      </c>
      <c r="H21" s="73"/>
      <c r="I21" s="71"/>
      <c r="J21" s="71"/>
      <c r="K21" s="71"/>
    </row>
    <row r="22" spans="1:11" s="75" customFormat="1" x14ac:dyDescent="0.25">
      <c r="A22" s="71"/>
      <c r="B22" s="71"/>
      <c r="C22" s="71"/>
      <c r="D22" s="71"/>
      <c r="E22" s="71"/>
      <c r="F22" s="71"/>
      <c r="G22" s="72">
        <f t="shared" si="0"/>
        <v>0</v>
      </c>
      <c r="H22" s="73"/>
      <c r="I22" s="71"/>
      <c r="J22" s="71"/>
      <c r="K22" s="71"/>
    </row>
    <row r="23" spans="1:11" x14ac:dyDescent="0.25">
      <c r="D23" s="64" t="s">
        <v>1099</v>
      </c>
      <c r="E23" s="65"/>
      <c r="F23" s="66"/>
      <c r="G23" s="8">
        <f>SUM(G13:G22)</f>
        <v>0</v>
      </c>
    </row>
    <row r="27" spans="1:11" x14ac:dyDescent="0.25">
      <c r="A27" s="9" t="s">
        <v>1100</v>
      </c>
      <c r="C27" s="3" t="s">
        <v>1101</v>
      </c>
      <c r="E27" s="9" t="s">
        <v>1102</v>
      </c>
      <c r="G27" s="9" t="s">
        <v>1103</v>
      </c>
      <c r="I27" s="3" t="s">
        <v>1104</v>
      </c>
    </row>
    <row r="28" spans="1:11" x14ac:dyDescent="0.25">
      <c r="A28" s="9"/>
      <c r="C28" s="3" t="s">
        <v>1105</v>
      </c>
      <c r="E28" s="9" t="s">
        <v>1105</v>
      </c>
      <c r="G28" s="9" t="s">
        <v>1105</v>
      </c>
      <c r="I28" s="3" t="s">
        <v>1105</v>
      </c>
    </row>
    <row r="29" spans="1:11" x14ac:dyDescent="0.25">
      <c r="A29" s="9"/>
      <c r="E29" s="9"/>
      <c r="G29" s="9"/>
    </row>
    <row r="30" spans="1:11" x14ac:dyDescent="0.25">
      <c r="A30" s="9"/>
      <c r="E30" s="9"/>
      <c r="G30" s="9"/>
    </row>
    <row r="31" spans="1:11" x14ac:dyDescent="0.25">
      <c r="A31" s="9"/>
      <c r="E31" s="9"/>
      <c r="G31" s="9"/>
    </row>
    <row r="32" spans="1:11" x14ac:dyDescent="0.25">
      <c r="A32" s="9"/>
      <c r="E32" s="9"/>
      <c r="G32" s="9"/>
    </row>
    <row r="33" spans="1:9" x14ac:dyDescent="0.25">
      <c r="A33" s="10" t="s">
        <v>1106</v>
      </c>
      <c r="C33" s="11" t="s">
        <v>1107</v>
      </c>
      <c r="E33" s="10" t="s">
        <v>1108</v>
      </c>
      <c r="G33" s="10" t="s">
        <v>1109</v>
      </c>
      <c r="I33" s="11" t="s">
        <v>1110</v>
      </c>
    </row>
    <row r="34" spans="1:9" x14ac:dyDescent="0.25">
      <c r="A34" s="9" t="s">
        <v>1111</v>
      </c>
      <c r="C34" s="3" t="s">
        <v>1112</v>
      </c>
      <c r="E34" s="9" t="s">
        <v>1113</v>
      </c>
      <c r="G34" s="9" t="s">
        <v>1114</v>
      </c>
      <c r="I34" s="3" t="s">
        <v>1115</v>
      </c>
    </row>
  </sheetData>
  <customSheetViews>
    <customSheetView guid="{6FD40CE0-1F09-4936-B611-E995D0A8278F}" hiddenRows="1">
      <selection activeCell="B6" sqref="B6"/>
      <pageMargins left="0" right="0" top="0" bottom="0" header="0" footer="0"/>
      <pageSetup orientation="portrait" horizontalDpi="4294967293" verticalDpi="0" r:id="rId1"/>
    </customSheetView>
  </customSheetViews>
  <mergeCells count="2">
    <mergeCell ref="A2:K2"/>
    <mergeCell ref="A1:K1"/>
  </mergeCells>
  <dataValidations count="1">
    <dataValidation type="list" allowBlank="1" showInputMessage="1" showErrorMessage="1" sqref="H14:H22">
      <formula1>#REF!</formula1>
    </dataValidation>
  </dataValidations>
  <pageMargins left="0.7" right="0.7" top="0.75" bottom="0.75" header="0.3" footer="0.3"/>
  <pageSetup paperSize="9" scale="46" orientation="landscape" horizontalDpi="4294967293" verticalDpi="0" r:id="rId2"/>
  <legacyDrawing r:id="rId3"/>
  <extLst>
    <ext xmlns:x14="http://schemas.microsoft.com/office/spreadsheetml/2009/9/main" uri="{CCE6A557-97BC-4b89-ADB6-D9C93CAAB3DF}">
      <x14:dataValidations xmlns:xm="http://schemas.microsoft.com/office/excel/2006/main" count="7">
        <x14:dataValidation type="list" allowBlank="1" showInputMessage="1" showErrorMessage="1">
          <x14:formula1>
            <xm:f>'kode M A K'!$C$332:$C$361</xm:f>
          </x14:formula1>
          <xm:sqref>B4</xm:sqref>
        </x14:dataValidation>
        <x14:dataValidation type="list" allowBlank="1" showInputMessage="1" showErrorMessage="1">
          <x14:formula1>
            <xm:f>'kode M A K'!$F$2:$F$228</xm:f>
          </x14:formula1>
          <xm:sqref>B10</xm:sqref>
        </x14:dataValidation>
        <x14:dataValidation type="list" allowBlank="1" showInputMessage="1" showErrorMessage="1">
          <x14:formula1>
            <xm:f>'kode M A K'!$C$240:$C$272</xm:f>
          </x14:formula1>
          <xm:sqref>E13:E22</xm:sqref>
        </x14:dataValidation>
        <x14:dataValidation type="list" allowBlank="1" showInputMessage="1" showErrorMessage="1">
          <x14:formula1>
            <xm:f>'kode M A K'!$C$277:$C$328</xm:f>
          </x14:formula1>
          <xm:sqref>H13</xm:sqref>
        </x14:dataValidation>
        <x14:dataValidation type="list" allowBlank="1" showInputMessage="1" showErrorMessage="1">
          <x14:formula1>
            <xm:f>'kode M A K'!$C$234:$C$237</xm:f>
          </x14:formula1>
          <xm:sqref>B6</xm:sqref>
        </x14:dataValidation>
        <x14:dataValidation type="list" allowBlank="1" showInputMessage="1" showErrorMessage="1">
          <x14:formula1>
            <xm:f>'kode M A K'!$D$234:$D$235</xm:f>
          </x14:formula1>
          <xm:sqref>B9</xm:sqref>
        </x14:dataValidation>
        <x14:dataValidation type="list" allowBlank="1" showInputMessage="1" showErrorMessage="1">
          <x14:formula1>
            <xm:f>'kode M A K'!$F$234:$F$235</xm:f>
          </x14:formula1>
          <xm:sqref>I13:I22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65"/>
  <sheetViews>
    <sheetView tabSelected="1" topLeftCell="A22" zoomScale="80" zoomScaleNormal="80" workbookViewId="0">
      <selection activeCell="C25" sqref="C25"/>
    </sheetView>
  </sheetViews>
  <sheetFormatPr defaultColWidth="9.140625" defaultRowHeight="15" x14ac:dyDescent="0.25"/>
  <cols>
    <col min="1" max="1" width="33.5703125" style="3" customWidth="1"/>
    <col min="2" max="2" width="66.42578125" style="3" customWidth="1"/>
    <col min="3" max="3" width="34.5703125" style="3" customWidth="1"/>
    <col min="4" max="4" width="17.140625" style="3" customWidth="1"/>
    <col min="5" max="5" width="25.85546875" style="3" customWidth="1"/>
    <col min="6" max="6" width="17.28515625" style="3" customWidth="1"/>
    <col min="7" max="7" width="22.140625" style="3" customWidth="1"/>
    <col min="8" max="9" width="21.140625" style="3" customWidth="1"/>
    <col min="10" max="10" width="21.85546875" style="75" customWidth="1"/>
    <col min="11" max="11" width="21.28515625" style="3" customWidth="1"/>
    <col min="12" max="16384" width="9.140625" style="3"/>
  </cols>
  <sheetData>
    <row r="1" spans="1:11" ht="23.25" x14ac:dyDescent="0.25">
      <c r="A1" s="140" t="s">
        <v>1078</v>
      </c>
      <c r="B1" s="140"/>
      <c r="C1" s="140"/>
      <c r="D1" s="140"/>
      <c r="E1" s="140"/>
      <c r="F1" s="140"/>
      <c r="G1" s="140"/>
      <c r="H1" s="140"/>
      <c r="I1" s="140"/>
      <c r="J1" s="140"/>
      <c r="K1" s="140"/>
    </row>
    <row r="2" spans="1:11" ht="24" thickBot="1" x14ac:dyDescent="0.3">
      <c r="A2" s="139" t="s">
        <v>1079</v>
      </c>
      <c r="B2" s="139"/>
      <c r="C2" s="139"/>
      <c r="D2" s="139"/>
      <c r="E2" s="139"/>
      <c r="F2" s="139"/>
      <c r="G2" s="139"/>
      <c r="H2" s="139"/>
      <c r="I2" s="139"/>
      <c r="J2" s="139"/>
      <c r="K2" s="139"/>
    </row>
    <row r="3" spans="1:11" ht="16.5" thickTop="1" thickBot="1" x14ac:dyDescent="0.3"/>
    <row r="4" spans="1:11" ht="21" thickBot="1" x14ac:dyDescent="0.3">
      <c r="A4" s="4" t="s">
        <v>1080</v>
      </c>
      <c r="B4" s="4" t="s">
        <v>1060</v>
      </c>
      <c r="K4" s="5" t="s">
        <v>1081</v>
      </c>
    </row>
    <row r="5" spans="1:11" ht="18" hidden="1" x14ac:dyDescent="0.25">
      <c r="A5" s="4" t="s">
        <v>1116</v>
      </c>
      <c r="B5" s="4"/>
    </row>
    <row r="6" spans="1:11" ht="18" x14ac:dyDescent="0.25">
      <c r="A6" s="4" t="s">
        <v>1082</v>
      </c>
      <c r="B6" s="4"/>
    </row>
    <row r="7" spans="1:11" ht="18" x14ac:dyDescent="0.25">
      <c r="A7" s="4" t="s">
        <v>1083</v>
      </c>
      <c r="B7" s="4" t="s">
        <v>896</v>
      </c>
    </row>
    <row r="8" spans="1:11" ht="18" x14ac:dyDescent="0.25">
      <c r="A8" s="4" t="s">
        <v>1085</v>
      </c>
      <c r="B8" s="4"/>
    </row>
    <row r="9" spans="1:11" ht="18" x14ac:dyDescent="0.25">
      <c r="A9" s="4" t="s">
        <v>1086</v>
      </c>
      <c r="B9" s="4" t="s">
        <v>1198</v>
      </c>
    </row>
    <row r="10" spans="1:11" ht="18" x14ac:dyDescent="0.25">
      <c r="A10" s="4" t="s">
        <v>1088</v>
      </c>
      <c r="B10" s="4" t="s">
        <v>894</v>
      </c>
    </row>
    <row r="11" spans="1:11" ht="18" x14ac:dyDescent="0.25">
      <c r="A11" s="4" t="s">
        <v>3</v>
      </c>
      <c r="B11" s="68" t="s">
        <v>522</v>
      </c>
    </row>
    <row r="13" spans="1:11" ht="33.75" customHeight="1" x14ac:dyDescent="0.25">
      <c r="A13" s="6" t="s">
        <v>1089</v>
      </c>
      <c r="B13" s="23" t="s">
        <v>1090</v>
      </c>
      <c r="C13" s="98" t="s">
        <v>1091</v>
      </c>
      <c r="D13" s="21" t="s">
        <v>1092</v>
      </c>
      <c r="E13" s="21" t="s">
        <v>1093</v>
      </c>
      <c r="F13" s="21" t="s">
        <v>1094</v>
      </c>
      <c r="G13" s="23" t="s">
        <v>1095</v>
      </c>
      <c r="H13" s="6" t="s">
        <v>1096</v>
      </c>
      <c r="I13" s="6" t="s">
        <v>889</v>
      </c>
      <c r="J13" s="6" t="s">
        <v>884</v>
      </c>
      <c r="K13" s="6" t="s">
        <v>1097</v>
      </c>
    </row>
    <row r="14" spans="1:11" s="75" customFormat="1" ht="73.5" customHeight="1" x14ac:dyDescent="0.25">
      <c r="A14" s="153" t="s">
        <v>1196</v>
      </c>
      <c r="B14" s="148" t="s">
        <v>1119</v>
      </c>
      <c r="C14" s="99" t="s">
        <v>1120</v>
      </c>
      <c r="D14" s="87">
        <v>1</v>
      </c>
      <c r="E14" s="97" t="s">
        <v>922</v>
      </c>
      <c r="F14" s="102">
        <v>500000</v>
      </c>
      <c r="G14" s="102">
        <f>D14*F14</f>
        <v>500000</v>
      </c>
      <c r="H14" s="97" t="s">
        <v>1182</v>
      </c>
      <c r="I14" s="119" t="s">
        <v>1179</v>
      </c>
      <c r="J14" s="120" t="s">
        <v>1121</v>
      </c>
      <c r="K14" s="142" t="s">
        <v>1122</v>
      </c>
    </row>
    <row r="15" spans="1:11" s="75" customFormat="1" ht="48.75" customHeight="1" x14ac:dyDescent="0.25">
      <c r="A15" s="154"/>
      <c r="B15" s="148" t="s">
        <v>1187</v>
      </c>
      <c r="C15" s="100" t="s">
        <v>1188</v>
      </c>
      <c r="D15" s="87">
        <v>2</v>
      </c>
      <c r="E15" s="78" t="s">
        <v>922</v>
      </c>
      <c r="F15" s="102">
        <v>500000</v>
      </c>
      <c r="G15" s="102">
        <f>D15*F15</f>
        <v>1000000</v>
      </c>
      <c r="H15" s="97" t="s">
        <v>1182</v>
      </c>
      <c r="I15" s="119" t="s">
        <v>1179</v>
      </c>
      <c r="J15" s="120" t="s">
        <v>1121</v>
      </c>
      <c r="K15" s="142"/>
    </row>
    <row r="16" spans="1:11" s="75" customFormat="1" ht="48.75" customHeight="1" x14ac:dyDescent="0.25">
      <c r="A16" s="154"/>
      <c r="B16" s="148" t="s">
        <v>1181</v>
      </c>
      <c r="C16" s="100" t="s">
        <v>1190</v>
      </c>
      <c r="D16" s="87">
        <v>9</v>
      </c>
      <c r="E16" s="78" t="s">
        <v>942</v>
      </c>
      <c r="F16" s="102">
        <v>50000</v>
      </c>
      <c r="G16" s="102">
        <f t="shared" ref="G16:G19" si="0">D16*F16</f>
        <v>450000</v>
      </c>
      <c r="H16" s="97" t="s">
        <v>1182</v>
      </c>
      <c r="I16" s="119" t="s">
        <v>1179</v>
      </c>
      <c r="J16" s="120" t="s">
        <v>1180</v>
      </c>
      <c r="K16" s="142"/>
    </row>
    <row r="17" spans="1:11" s="75" customFormat="1" ht="48.75" customHeight="1" x14ac:dyDescent="0.25">
      <c r="A17" s="154"/>
      <c r="B17" s="148" t="s">
        <v>1189</v>
      </c>
      <c r="C17" s="100" t="s">
        <v>1191</v>
      </c>
      <c r="D17" s="87">
        <v>4</v>
      </c>
      <c r="E17" s="78" t="s">
        <v>942</v>
      </c>
      <c r="F17" s="102">
        <v>50000</v>
      </c>
      <c r="G17" s="102">
        <f>D17*F17</f>
        <v>200000</v>
      </c>
      <c r="H17" s="97" t="s">
        <v>1182</v>
      </c>
      <c r="I17" s="119" t="s">
        <v>1179</v>
      </c>
      <c r="J17" s="120" t="s">
        <v>1180</v>
      </c>
      <c r="K17" s="142"/>
    </row>
    <row r="18" spans="1:11" s="75" customFormat="1" ht="48.75" customHeight="1" x14ac:dyDescent="0.25">
      <c r="A18" s="154"/>
      <c r="B18" s="148" t="s">
        <v>1192</v>
      </c>
      <c r="C18" s="100" t="s">
        <v>1174</v>
      </c>
      <c r="D18" s="87">
        <v>46</v>
      </c>
      <c r="E18" s="78" t="s">
        <v>942</v>
      </c>
      <c r="F18" s="102">
        <v>25000</v>
      </c>
      <c r="G18" s="102">
        <f t="shared" si="0"/>
        <v>1150000</v>
      </c>
      <c r="H18" s="97" t="s">
        <v>1182</v>
      </c>
      <c r="I18" s="119" t="s">
        <v>1179</v>
      </c>
      <c r="J18" s="120" t="s">
        <v>1180</v>
      </c>
      <c r="K18" s="142"/>
    </row>
    <row r="19" spans="1:11" s="75" customFormat="1" ht="48.75" customHeight="1" x14ac:dyDescent="0.25">
      <c r="A19" s="154"/>
      <c r="B19" s="148" t="s">
        <v>1193</v>
      </c>
      <c r="C19" s="100" t="s">
        <v>1173</v>
      </c>
      <c r="D19" s="87">
        <v>26</v>
      </c>
      <c r="E19" s="78" t="s">
        <v>942</v>
      </c>
      <c r="F19" s="102">
        <v>25000</v>
      </c>
      <c r="G19" s="102">
        <f t="shared" si="0"/>
        <v>650000</v>
      </c>
      <c r="H19" s="97" t="s">
        <v>1182</v>
      </c>
      <c r="I19" s="119" t="s">
        <v>1179</v>
      </c>
      <c r="J19" s="120" t="s">
        <v>1180</v>
      </c>
      <c r="K19" s="142"/>
    </row>
    <row r="20" spans="1:11" s="75" customFormat="1" ht="48.75" customHeight="1" x14ac:dyDescent="0.25">
      <c r="A20" s="154"/>
      <c r="B20" s="148" t="s">
        <v>1183</v>
      </c>
      <c r="C20" s="100" t="s">
        <v>1200</v>
      </c>
      <c r="D20" s="87">
        <v>9</v>
      </c>
      <c r="E20" s="78" t="s">
        <v>942</v>
      </c>
      <c r="F20" s="102">
        <v>50000</v>
      </c>
      <c r="G20" s="102">
        <f t="shared" ref="G20" si="1">D20*F20</f>
        <v>450000</v>
      </c>
      <c r="H20" s="97" t="s">
        <v>1182</v>
      </c>
      <c r="I20" s="119" t="s">
        <v>1179</v>
      </c>
      <c r="J20" s="120" t="s">
        <v>1180</v>
      </c>
      <c r="K20" s="142"/>
    </row>
    <row r="21" spans="1:11" s="75" customFormat="1" ht="48.75" customHeight="1" x14ac:dyDescent="0.25">
      <c r="A21" s="154"/>
      <c r="B21" s="148" t="s">
        <v>1175</v>
      </c>
      <c r="C21" s="100" t="s">
        <v>1176</v>
      </c>
      <c r="D21" s="87">
        <v>2</v>
      </c>
      <c r="E21" s="78" t="s">
        <v>914</v>
      </c>
      <c r="F21" s="102">
        <v>1750000</v>
      </c>
      <c r="G21" s="102">
        <f>D21*F21</f>
        <v>3500000</v>
      </c>
      <c r="H21" s="97" t="s">
        <v>1182</v>
      </c>
      <c r="I21" s="119" t="s">
        <v>1179</v>
      </c>
      <c r="J21" s="120" t="s">
        <v>1180</v>
      </c>
      <c r="K21" s="142"/>
    </row>
    <row r="22" spans="1:11" s="75" customFormat="1" ht="48.75" customHeight="1" x14ac:dyDescent="0.25">
      <c r="A22" s="154"/>
      <c r="B22" s="149" t="s">
        <v>1128</v>
      </c>
      <c r="C22" s="86" t="s">
        <v>1169</v>
      </c>
      <c r="D22" s="112">
        <v>2</v>
      </c>
      <c r="E22" s="78" t="s">
        <v>914</v>
      </c>
      <c r="F22" s="113">
        <v>300000</v>
      </c>
      <c r="G22" s="102">
        <f t="shared" ref="G22:G25" si="2">D22*F22</f>
        <v>600000</v>
      </c>
      <c r="H22" s="97" t="s">
        <v>1182</v>
      </c>
      <c r="I22" s="119" t="s">
        <v>1179</v>
      </c>
      <c r="J22" s="120" t="s">
        <v>1180</v>
      </c>
      <c r="K22" s="142"/>
    </row>
    <row r="23" spans="1:11" s="75" customFormat="1" ht="48.75" customHeight="1" x14ac:dyDescent="0.25">
      <c r="A23" s="154"/>
      <c r="B23" s="150" t="s">
        <v>1177</v>
      </c>
      <c r="C23" s="86" t="s">
        <v>1197</v>
      </c>
      <c r="D23" s="112">
        <v>46</v>
      </c>
      <c r="E23" s="78" t="s">
        <v>942</v>
      </c>
      <c r="F23" s="113">
        <v>10000</v>
      </c>
      <c r="G23" s="102">
        <f t="shared" si="2"/>
        <v>460000</v>
      </c>
      <c r="H23" s="97" t="s">
        <v>1182</v>
      </c>
      <c r="I23" s="119" t="s">
        <v>1179</v>
      </c>
      <c r="J23" s="120" t="s">
        <v>1180</v>
      </c>
      <c r="K23" s="142"/>
    </row>
    <row r="24" spans="1:11" s="75" customFormat="1" ht="48.75" customHeight="1" x14ac:dyDescent="0.25">
      <c r="A24" s="154"/>
      <c r="B24" s="150" t="s">
        <v>1178</v>
      </c>
      <c r="C24" s="86" t="s">
        <v>1201</v>
      </c>
      <c r="D24" s="112">
        <v>26</v>
      </c>
      <c r="E24" s="78" t="s">
        <v>942</v>
      </c>
      <c r="F24" s="113">
        <v>10000</v>
      </c>
      <c r="G24" s="102">
        <f t="shared" si="2"/>
        <v>260000</v>
      </c>
      <c r="H24" s="97" t="s">
        <v>1182</v>
      </c>
      <c r="I24" s="119" t="s">
        <v>1179</v>
      </c>
      <c r="J24" s="120" t="s">
        <v>1180</v>
      </c>
      <c r="K24" s="142"/>
    </row>
    <row r="25" spans="1:11" s="75" customFormat="1" ht="48.75" customHeight="1" x14ac:dyDescent="0.25">
      <c r="A25" s="154"/>
      <c r="B25" s="151" t="s">
        <v>1132</v>
      </c>
      <c r="C25" s="134" t="s">
        <v>1194</v>
      </c>
      <c r="D25" s="121">
        <v>1</v>
      </c>
      <c r="E25" s="135" t="s">
        <v>1134</v>
      </c>
      <c r="F25" s="136">
        <v>100000</v>
      </c>
      <c r="G25" s="116">
        <f t="shared" si="2"/>
        <v>100000</v>
      </c>
      <c r="H25" s="122" t="s">
        <v>1182</v>
      </c>
      <c r="I25" s="123" t="s">
        <v>1179</v>
      </c>
      <c r="J25" s="120" t="s">
        <v>1180</v>
      </c>
      <c r="K25" s="142"/>
    </row>
    <row r="26" spans="1:11" s="75" customFormat="1" ht="48.75" customHeight="1" x14ac:dyDescent="0.25">
      <c r="A26" s="155"/>
      <c r="B26" s="148" t="s">
        <v>1195</v>
      </c>
      <c r="C26" s="118" t="s">
        <v>1168</v>
      </c>
      <c r="D26" s="73">
        <v>2</v>
      </c>
      <c r="E26" s="130" t="s">
        <v>1134</v>
      </c>
      <c r="F26" s="131">
        <v>350000</v>
      </c>
      <c r="G26" s="131">
        <f>D26*F26</f>
        <v>700000</v>
      </c>
      <c r="H26" s="117" t="s">
        <v>1182</v>
      </c>
      <c r="I26" s="117" t="s">
        <v>1179</v>
      </c>
      <c r="J26" s="120" t="s">
        <v>1180</v>
      </c>
      <c r="K26" s="142"/>
    </row>
    <row r="27" spans="1:11" s="75" customFormat="1" ht="48.75" customHeight="1" x14ac:dyDescent="0.25">
      <c r="A27" s="156"/>
      <c r="B27" s="152" t="s">
        <v>1170</v>
      </c>
      <c r="C27" s="137" t="s">
        <v>1172</v>
      </c>
      <c r="D27" s="125">
        <v>4</v>
      </c>
      <c r="E27" s="124" t="s">
        <v>1171</v>
      </c>
      <c r="F27" s="126">
        <v>30000</v>
      </c>
      <c r="G27" s="126">
        <f>D27*F27</f>
        <v>120000</v>
      </c>
      <c r="H27" s="127" t="s">
        <v>1182</v>
      </c>
      <c r="I27" s="128" t="s">
        <v>1179</v>
      </c>
      <c r="J27" s="129" t="s">
        <v>1121</v>
      </c>
      <c r="K27" s="142"/>
    </row>
    <row r="28" spans="1:11" s="75" customFormat="1" x14ac:dyDescent="0.25">
      <c r="D28" s="90" t="s">
        <v>1099</v>
      </c>
      <c r="E28" s="91"/>
      <c r="F28" s="132"/>
      <c r="G28" s="133">
        <f>SUM(G14:G27)</f>
        <v>10140000</v>
      </c>
    </row>
    <row r="31" spans="1:11" ht="30" customHeight="1" x14ac:dyDescent="0.25"/>
    <row r="32" spans="1:11" x14ac:dyDescent="0.25">
      <c r="A32" s="9" t="s">
        <v>1100</v>
      </c>
      <c r="C32" s="9" t="s">
        <v>1102</v>
      </c>
      <c r="E32" s="9" t="s">
        <v>1103</v>
      </c>
      <c r="H32" s="3" t="s">
        <v>1104</v>
      </c>
    </row>
    <row r="33" spans="1:9" x14ac:dyDescent="0.25">
      <c r="A33" s="9"/>
      <c r="C33" s="9" t="s">
        <v>1186</v>
      </c>
      <c r="E33" s="9" t="s">
        <v>1105</v>
      </c>
      <c r="H33" s="3" t="s">
        <v>1105</v>
      </c>
    </row>
    <row r="34" spans="1:9" x14ac:dyDescent="0.25">
      <c r="A34" s="9"/>
      <c r="C34" s="9"/>
      <c r="E34" s="9"/>
    </row>
    <row r="35" spans="1:9" x14ac:dyDescent="0.25">
      <c r="A35" s="9"/>
      <c r="C35" s="9"/>
      <c r="E35" s="9"/>
    </row>
    <row r="36" spans="1:9" x14ac:dyDescent="0.25">
      <c r="A36" s="9"/>
      <c r="C36" s="9"/>
      <c r="E36" s="9"/>
    </row>
    <row r="37" spans="1:9" x14ac:dyDescent="0.25">
      <c r="A37" s="9"/>
      <c r="C37" s="9"/>
      <c r="E37" s="9"/>
    </row>
    <row r="38" spans="1:9" x14ac:dyDescent="0.25">
      <c r="A38" s="9"/>
      <c r="C38" s="9"/>
      <c r="E38" s="9"/>
    </row>
    <row r="39" spans="1:9" x14ac:dyDescent="0.25">
      <c r="A39" s="10" t="s">
        <v>1184</v>
      </c>
      <c r="C39" s="84" t="s">
        <v>1199</v>
      </c>
      <c r="E39" s="10" t="s">
        <v>1109</v>
      </c>
      <c r="H39" s="11" t="s">
        <v>1110</v>
      </c>
      <c r="I39" s="11"/>
    </row>
    <row r="40" spans="1:9" x14ac:dyDescent="0.25">
      <c r="A40" s="9" t="s">
        <v>1185</v>
      </c>
      <c r="C40" s="85" t="s">
        <v>1139</v>
      </c>
      <c r="E40" s="9" t="s">
        <v>1114</v>
      </c>
      <c r="H40" s="3" t="s">
        <v>1115</v>
      </c>
    </row>
    <row r="42" spans="1:9" x14ac:dyDescent="0.25">
      <c r="B42" s="141"/>
      <c r="C42" s="83"/>
    </row>
    <row r="43" spans="1:9" x14ac:dyDescent="0.25">
      <c r="B43" s="141"/>
      <c r="C43" s="83"/>
    </row>
    <row r="44" spans="1:9" x14ac:dyDescent="0.25">
      <c r="C44" s="96"/>
      <c r="D44" s="96"/>
      <c r="E44" s="96"/>
    </row>
    <row r="45" spans="1:9" x14ac:dyDescent="0.25">
      <c r="C45" s="96"/>
      <c r="D45" s="96"/>
      <c r="E45" s="96"/>
    </row>
    <row r="46" spans="1:9" x14ac:dyDescent="0.25">
      <c r="C46" s="96"/>
      <c r="D46" s="96"/>
      <c r="E46" s="96"/>
    </row>
    <row r="47" spans="1:9" x14ac:dyDescent="0.25">
      <c r="C47" s="96"/>
      <c r="D47" s="96"/>
      <c r="E47" s="96"/>
    </row>
    <row r="48" spans="1:9" x14ac:dyDescent="0.25">
      <c r="C48" s="96"/>
      <c r="D48" s="96"/>
      <c r="E48" s="96"/>
    </row>
    <row r="49" spans="3:5" x14ac:dyDescent="0.25">
      <c r="C49" s="96"/>
      <c r="D49" s="96"/>
      <c r="E49" s="96"/>
    </row>
    <row r="50" spans="3:5" x14ac:dyDescent="0.25">
      <c r="C50" s="96"/>
      <c r="D50" s="96"/>
      <c r="E50" s="96"/>
    </row>
    <row r="51" spans="3:5" x14ac:dyDescent="0.25">
      <c r="C51" s="96"/>
      <c r="D51" s="96"/>
      <c r="E51" s="96"/>
    </row>
    <row r="52" spans="3:5" x14ac:dyDescent="0.25">
      <c r="C52" s="96"/>
      <c r="D52" s="96"/>
      <c r="E52" s="96"/>
    </row>
    <row r="53" spans="3:5" x14ac:dyDescent="0.25">
      <c r="C53" s="96"/>
      <c r="D53" s="96"/>
      <c r="E53" s="96"/>
    </row>
    <row r="54" spans="3:5" x14ac:dyDescent="0.25">
      <c r="C54" s="96"/>
      <c r="D54" s="96"/>
      <c r="E54" s="96"/>
    </row>
    <row r="55" spans="3:5" x14ac:dyDescent="0.25">
      <c r="C55" s="96"/>
      <c r="D55" s="96"/>
      <c r="E55" s="96"/>
    </row>
    <row r="56" spans="3:5" x14ac:dyDescent="0.25">
      <c r="C56" s="96"/>
      <c r="D56" s="96"/>
      <c r="E56" s="96"/>
    </row>
    <row r="57" spans="3:5" x14ac:dyDescent="0.25">
      <c r="C57" s="96"/>
      <c r="D57" s="96"/>
      <c r="E57" s="96"/>
    </row>
    <row r="58" spans="3:5" x14ac:dyDescent="0.25">
      <c r="C58" s="96"/>
      <c r="D58" s="96"/>
      <c r="E58" s="96"/>
    </row>
    <row r="59" spans="3:5" x14ac:dyDescent="0.25">
      <c r="C59" s="96"/>
      <c r="D59" s="96"/>
      <c r="E59" s="96"/>
    </row>
    <row r="60" spans="3:5" x14ac:dyDescent="0.25">
      <c r="C60" s="96"/>
      <c r="D60" s="96"/>
      <c r="E60" s="96"/>
    </row>
    <row r="61" spans="3:5" x14ac:dyDescent="0.25">
      <c r="C61" s="96"/>
      <c r="D61" s="96"/>
      <c r="E61" s="96"/>
    </row>
    <row r="62" spans="3:5" x14ac:dyDescent="0.25">
      <c r="C62" s="96"/>
      <c r="D62" s="96"/>
      <c r="E62" s="96"/>
    </row>
    <row r="63" spans="3:5" x14ac:dyDescent="0.25">
      <c r="C63" s="96"/>
      <c r="D63" s="96"/>
      <c r="E63" s="96"/>
    </row>
    <row r="64" spans="3:5" x14ac:dyDescent="0.25">
      <c r="C64" s="96"/>
      <c r="D64" s="96"/>
      <c r="E64" s="96"/>
    </row>
    <row r="65" spans="3:5" x14ac:dyDescent="0.25">
      <c r="C65" s="96"/>
      <c r="D65" s="96"/>
      <c r="E65" s="96"/>
    </row>
  </sheetData>
  <mergeCells count="5">
    <mergeCell ref="A1:K1"/>
    <mergeCell ref="A2:K2"/>
    <mergeCell ref="B42:B43"/>
    <mergeCell ref="K14:K27"/>
    <mergeCell ref="A14:A25"/>
  </mergeCells>
  <pageMargins left="0.7" right="0.7" top="0.75" bottom="0.65" header="0.3" footer="0.3"/>
  <pageSetup paperSize="9" scale="42" orientation="landscape" horizontalDpi="4294967293" verticalDpi="0"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14:formula1>
            <xm:f>'kode M A K'!$C$332:$C$361</xm:f>
          </x14:formula1>
          <xm:sqref>B4</xm:sqref>
        </x14:dataValidation>
        <x14:dataValidation type="list" allowBlank="1" showInputMessage="1" showErrorMessage="1">
          <x14:formula1>
            <xm:f>'kode M A K'!$F$2:$F$228</xm:f>
          </x14:formula1>
          <xm:sqref>B11</xm:sqref>
        </x14:dataValidation>
        <x14:dataValidation type="list" allowBlank="1" showInputMessage="1" showErrorMessage="1">
          <x14:formula1>
            <xm:f>'kode M A K'!$C$234:$C$237</xm:f>
          </x14:formula1>
          <xm:sqref>B7</xm:sqref>
        </x14:dataValidation>
        <x14:dataValidation type="list" allowBlank="1" showInputMessage="1" showErrorMessage="1">
          <x14:formula1>
            <xm:f>'kode M A K'!$D$234:$D$235</xm:f>
          </x14:formula1>
          <xm:sqref>B10</xm:sqref>
        </x14:dataValidation>
        <x14:dataValidation type="list" allowBlank="1" showInputMessage="1" showErrorMessage="1">
          <x14:formula1>
            <xm:f>'kode M A K'!$C$240:$C$272</xm:f>
          </x14:formula1>
          <xm:sqref>E15:E24</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37"/>
  <sheetViews>
    <sheetView workbookViewId="0">
      <selection activeCell="B8" sqref="B8"/>
    </sheetView>
  </sheetViews>
  <sheetFormatPr defaultRowHeight="15" x14ac:dyDescent="0.25"/>
  <cols>
    <col min="1" max="1" width="36" customWidth="1"/>
    <col min="2" max="2" width="24.5703125" customWidth="1"/>
    <col min="6" max="6" width="12.140625" bestFit="1" customWidth="1"/>
    <col min="7" max="7" width="17.140625" customWidth="1"/>
    <col min="8" max="8" width="12" customWidth="1"/>
    <col min="9" max="9" width="18.28515625" customWidth="1"/>
  </cols>
  <sheetData>
    <row r="1" spans="1:11" ht="23.25" x14ac:dyDescent="0.25">
      <c r="A1" s="140" t="s">
        <v>1078</v>
      </c>
      <c r="B1" s="140"/>
      <c r="C1" s="140"/>
      <c r="D1" s="140"/>
      <c r="E1" s="140"/>
      <c r="F1" s="140"/>
      <c r="G1" s="140"/>
      <c r="H1" s="140"/>
      <c r="I1" s="140"/>
      <c r="J1" s="140"/>
      <c r="K1" s="140"/>
    </row>
    <row r="2" spans="1:11" ht="23.25" x14ac:dyDescent="0.25">
      <c r="A2" s="139" t="s">
        <v>1079</v>
      </c>
      <c r="B2" s="139"/>
      <c r="C2" s="139"/>
      <c r="D2" s="139"/>
      <c r="E2" s="139"/>
      <c r="F2" s="139"/>
      <c r="G2" s="139"/>
      <c r="H2" s="139"/>
      <c r="I2" s="139"/>
      <c r="J2" s="139"/>
      <c r="K2" s="139"/>
    </row>
    <row r="3" spans="1:11" x14ac:dyDescent="0.25">
      <c r="A3" s="3"/>
      <c r="B3" s="3"/>
      <c r="C3" s="3"/>
      <c r="D3" s="3"/>
      <c r="E3" s="3"/>
      <c r="F3" s="3"/>
      <c r="G3" s="3"/>
      <c r="H3" s="3"/>
      <c r="I3" s="3"/>
      <c r="J3" s="3"/>
      <c r="K3" s="3"/>
    </row>
    <row r="4" spans="1:11" ht="70.5" customHeight="1" x14ac:dyDescent="0.25">
      <c r="A4" s="4" t="s">
        <v>1080</v>
      </c>
      <c r="B4" s="4" t="s">
        <v>1060</v>
      </c>
      <c r="C4" s="3"/>
      <c r="D4" s="3"/>
      <c r="E4" s="3"/>
      <c r="F4" s="3"/>
      <c r="G4" s="3"/>
      <c r="H4" s="3"/>
      <c r="I4" s="3"/>
      <c r="J4" s="3"/>
      <c r="K4" s="5" t="s">
        <v>1081</v>
      </c>
    </row>
    <row r="5" spans="1:11" ht="66.75" customHeight="1" x14ac:dyDescent="0.25">
      <c r="A5" s="4" t="s">
        <v>1116</v>
      </c>
      <c r="B5" s="4"/>
      <c r="C5" s="3"/>
      <c r="D5" s="3"/>
      <c r="E5" s="3"/>
      <c r="F5" s="3"/>
      <c r="G5" s="3"/>
      <c r="H5" s="3"/>
      <c r="I5" s="3"/>
      <c r="J5" s="3"/>
      <c r="K5" s="3"/>
    </row>
    <row r="6" spans="1:11" ht="18" x14ac:dyDescent="0.25">
      <c r="A6" s="4" t="s">
        <v>1082</v>
      </c>
      <c r="B6" s="4"/>
      <c r="C6" s="3"/>
      <c r="D6" s="3"/>
      <c r="E6" s="3"/>
      <c r="F6" s="3"/>
      <c r="G6" s="3"/>
      <c r="H6" s="3"/>
      <c r="I6" s="3"/>
      <c r="J6" s="3"/>
      <c r="K6" s="3"/>
    </row>
    <row r="7" spans="1:11" ht="18" x14ac:dyDescent="0.25">
      <c r="A7" s="4" t="s">
        <v>1083</v>
      </c>
      <c r="B7" s="4" t="s">
        <v>893</v>
      </c>
      <c r="C7" s="3"/>
      <c r="D7" s="3"/>
      <c r="E7" s="3"/>
      <c r="F7" s="3"/>
      <c r="G7" s="3"/>
      <c r="H7" s="3"/>
      <c r="I7" s="3"/>
      <c r="J7" s="3"/>
      <c r="K7" s="3"/>
    </row>
    <row r="8" spans="1:11" ht="18" x14ac:dyDescent="0.25">
      <c r="A8" s="4" t="s">
        <v>1085</v>
      </c>
      <c r="B8" s="4"/>
      <c r="C8" s="3"/>
      <c r="D8" s="3"/>
      <c r="E8" s="3"/>
      <c r="F8" s="3"/>
      <c r="G8" s="3"/>
      <c r="H8" s="3"/>
      <c r="I8" s="3"/>
      <c r="J8" s="3"/>
      <c r="K8" s="3"/>
    </row>
    <row r="9" spans="1:11" ht="18" x14ac:dyDescent="0.25">
      <c r="A9" s="4" t="s">
        <v>1086</v>
      </c>
      <c r="B9" s="4" t="s">
        <v>1117</v>
      </c>
      <c r="C9" s="3"/>
      <c r="D9" s="3"/>
      <c r="E9" s="3"/>
      <c r="F9" s="3"/>
      <c r="G9" s="3"/>
      <c r="H9" s="3"/>
      <c r="I9" s="3"/>
      <c r="J9" s="3"/>
      <c r="K9" s="3"/>
    </row>
    <row r="10" spans="1:11" ht="18" x14ac:dyDescent="0.25">
      <c r="A10" s="4" t="s">
        <v>1088</v>
      </c>
      <c r="B10" s="4" t="s">
        <v>894</v>
      </c>
      <c r="C10" s="3"/>
      <c r="D10" s="3"/>
      <c r="E10" s="3"/>
      <c r="F10" s="3"/>
      <c r="G10" s="3"/>
      <c r="H10" s="3"/>
      <c r="I10" s="3"/>
      <c r="J10" s="3"/>
      <c r="K10" s="3"/>
    </row>
    <row r="11" spans="1:11" ht="18" x14ac:dyDescent="0.25">
      <c r="A11" s="4" t="s">
        <v>3</v>
      </c>
      <c r="B11" s="68" t="s">
        <v>507</v>
      </c>
      <c r="C11" s="3"/>
      <c r="D11" s="3"/>
      <c r="E11" s="3"/>
      <c r="F11" s="3"/>
      <c r="G11" s="3"/>
      <c r="H11" s="3"/>
      <c r="I11" s="3"/>
      <c r="J11" s="3"/>
      <c r="K11" s="3"/>
    </row>
    <row r="12" spans="1:11" x14ac:dyDescent="0.25">
      <c r="A12" s="3"/>
      <c r="B12" s="3"/>
      <c r="C12" s="3"/>
      <c r="D12" s="3"/>
      <c r="E12" s="3"/>
      <c r="F12" s="3"/>
      <c r="G12" s="3"/>
      <c r="H12" s="3"/>
      <c r="I12" s="3"/>
      <c r="J12" s="3"/>
      <c r="K12" s="3"/>
    </row>
    <row r="13" spans="1:11" ht="63" x14ac:dyDescent="0.25">
      <c r="A13" s="6" t="s">
        <v>1089</v>
      </c>
      <c r="B13" s="6" t="s">
        <v>1090</v>
      </c>
      <c r="C13" s="98" t="s">
        <v>1091</v>
      </c>
      <c r="D13" s="21" t="s">
        <v>1092</v>
      </c>
      <c r="E13" s="21" t="s">
        <v>1093</v>
      </c>
      <c r="F13" s="21" t="s">
        <v>1094</v>
      </c>
      <c r="G13" s="23" t="s">
        <v>1095</v>
      </c>
      <c r="H13" s="6" t="s">
        <v>1096</v>
      </c>
      <c r="I13" s="6" t="s">
        <v>889</v>
      </c>
      <c r="J13" s="6" t="s">
        <v>884</v>
      </c>
      <c r="K13" s="6" t="s">
        <v>1097</v>
      </c>
    </row>
    <row r="14" spans="1:11" ht="135" x14ac:dyDescent="0.25">
      <c r="A14" s="143" t="s">
        <v>1118</v>
      </c>
      <c r="B14" s="71" t="s">
        <v>1119</v>
      </c>
      <c r="C14" s="99" t="s">
        <v>1120</v>
      </c>
      <c r="D14" s="87">
        <v>1</v>
      </c>
      <c r="E14" s="97" t="s">
        <v>922</v>
      </c>
      <c r="F14" s="102">
        <v>500000</v>
      </c>
      <c r="G14" s="94">
        <f>D14*F14</f>
        <v>500000</v>
      </c>
      <c r="H14" s="78" t="s">
        <v>977</v>
      </c>
      <c r="I14" s="78" t="s">
        <v>895</v>
      </c>
      <c r="J14" s="104" t="s">
        <v>1121</v>
      </c>
      <c r="K14" s="145" t="s">
        <v>1122</v>
      </c>
    </row>
    <row r="15" spans="1:11" ht="90" x14ac:dyDescent="0.25">
      <c r="A15" s="144"/>
      <c r="B15" s="89" t="s">
        <v>1123</v>
      </c>
      <c r="C15" s="100" t="s">
        <v>1124</v>
      </c>
      <c r="D15" s="87">
        <v>3</v>
      </c>
      <c r="E15" s="78" t="s">
        <v>922</v>
      </c>
      <c r="F15" s="102">
        <v>500000</v>
      </c>
      <c r="G15" s="94">
        <f>D15*F15</f>
        <v>1500000</v>
      </c>
      <c r="H15" s="78" t="s">
        <v>977</v>
      </c>
      <c r="I15" s="78" t="s">
        <v>895</v>
      </c>
      <c r="J15" s="88" t="s">
        <v>1125</v>
      </c>
      <c r="K15" s="146"/>
    </row>
    <row r="16" spans="1:11" ht="120" x14ac:dyDescent="0.25">
      <c r="A16" s="144"/>
      <c r="B16" s="86" t="s">
        <v>1126</v>
      </c>
      <c r="C16" s="100" t="s">
        <v>1127</v>
      </c>
      <c r="D16" s="87">
        <v>4</v>
      </c>
      <c r="E16" s="78" t="s">
        <v>914</v>
      </c>
      <c r="F16" s="102">
        <v>1750000</v>
      </c>
      <c r="G16" s="94">
        <f>D16*F16</f>
        <v>7000000</v>
      </c>
      <c r="H16" s="78" t="s">
        <v>977</v>
      </c>
      <c r="I16" s="78" t="s">
        <v>895</v>
      </c>
      <c r="J16" s="88" t="s">
        <v>1125</v>
      </c>
      <c r="K16" s="146"/>
    </row>
    <row r="17" spans="1:11" ht="135" x14ac:dyDescent="0.25">
      <c r="A17" s="144"/>
      <c r="B17" s="109" t="s">
        <v>1140</v>
      </c>
      <c r="C17" s="86" t="s">
        <v>1141</v>
      </c>
      <c r="D17" s="106">
        <v>44</v>
      </c>
      <c r="E17" s="101" t="s">
        <v>942</v>
      </c>
      <c r="F17" s="103">
        <v>45000</v>
      </c>
      <c r="G17" s="94">
        <f t="shared" ref="G17:G23" si="0">D17*F17</f>
        <v>1980000</v>
      </c>
      <c r="H17" s="78" t="s">
        <v>977</v>
      </c>
      <c r="I17" s="78" t="s">
        <v>892</v>
      </c>
      <c r="J17" s="88" t="s">
        <v>1142</v>
      </c>
      <c r="K17" s="146"/>
    </row>
    <row r="18" spans="1:11" ht="135" x14ac:dyDescent="0.25">
      <c r="A18" s="144"/>
      <c r="B18" s="109" t="s">
        <v>1143</v>
      </c>
      <c r="C18" s="86" t="s">
        <v>1144</v>
      </c>
      <c r="D18" s="106">
        <v>68</v>
      </c>
      <c r="E18" s="101" t="s">
        <v>942</v>
      </c>
      <c r="F18" s="103">
        <v>24000</v>
      </c>
      <c r="G18" s="94">
        <f t="shared" si="0"/>
        <v>1632000</v>
      </c>
      <c r="H18" s="78" t="s">
        <v>977</v>
      </c>
      <c r="I18" s="78" t="s">
        <v>892</v>
      </c>
      <c r="J18" s="88" t="s">
        <v>1142</v>
      </c>
      <c r="K18" s="146"/>
    </row>
    <row r="19" spans="1:11" ht="165" x14ac:dyDescent="0.25">
      <c r="A19" s="144"/>
      <c r="B19" s="109" t="s">
        <v>1145</v>
      </c>
      <c r="C19" s="86" t="s">
        <v>1146</v>
      </c>
      <c r="D19" s="106">
        <f>40*3</f>
        <v>120</v>
      </c>
      <c r="E19" s="114" t="s">
        <v>942</v>
      </c>
      <c r="F19" s="103">
        <v>24000</v>
      </c>
      <c r="G19" s="94">
        <f t="shared" si="0"/>
        <v>2880000</v>
      </c>
      <c r="H19" s="78" t="s">
        <v>977</v>
      </c>
      <c r="I19" s="78" t="s">
        <v>892</v>
      </c>
      <c r="J19" s="88" t="s">
        <v>1142</v>
      </c>
      <c r="K19" s="146"/>
    </row>
    <row r="20" spans="1:11" ht="75" x14ac:dyDescent="0.25">
      <c r="A20" s="144"/>
      <c r="B20" s="105" t="s">
        <v>1128</v>
      </c>
      <c r="C20" s="86" t="s">
        <v>1129</v>
      </c>
      <c r="D20" s="112">
        <v>4</v>
      </c>
      <c r="E20" s="78" t="s">
        <v>914</v>
      </c>
      <c r="F20" s="113">
        <v>250000</v>
      </c>
      <c r="G20" s="94">
        <f t="shared" si="0"/>
        <v>1000000</v>
      </c>
      <c r="H20" s="78" t="s">
        <v>977</v>
      </c>
      <c r="I20" s="78" t="s">
        <v>895</v>
      </c>
      <c r="J20" s="104" t="s">
        <v>1121</v>
      </c>
      <c r="K20" s="146"/>
    </row>
    <row r="21" spans="1:11" ht="75" x14ac:dyDescent="0.25">
      <c r="A21" s="144"/>
      <c r="B21" s="105" t="s">
        <v>1130</v>
      </c>
      <c r="C21" s="86" t="s">
        <v>1131</v>
      </c>
      <c r="D21" s="112">
        <v>4</v>
      </c>
      <c r="E21" s="78" t="s">
        <v>914</v>
      </c>
      <c r="F21" s="113">
        <v>475000</v>
      </c>
      <c r="G21" s="94">
        <f t="shared" si="0"/>
        <v>1900000</v>
      </c>
      <c r="H21" s="78" t="s">
        <v>977</v>
      </c>
      <c r="I21" s="78" t="s">
        <v>895</v>
      </c>
      <c r="J21" s="104" t="s">
        <v>1121</v>
      </c>
      <c r="K21" s="146"/>
    </row>
    <row r="22" spans="1:11" ht="90" x14ac:dyDescent="0.25">
      <c r="A22" s="144"/>
      <c r="B22" s="105" t="s">
        <v>1132</v>
      </c>
      <c r="C22" s="86" t="s">
        <v>1133</v>
      </c>
      <c r="D22" s="112">
        <v>2</v>
      </c>
      <c r="E22" s="111" t="s">
        <v>1134</v>
      </c>
      <c r="F22" s="113">
        <v>100000</v>
      </c>
      <c r="G22" s="94">
        <f t="shared" si="0"/>
        <v>200000</v>
      </c>
      <c r="H22" s="78" t="s">
        <v>977</v>
      </c>
      <c r="I22" s="78" t="s">
        <v>895</v>
      </c>
      <c r="J22" s="104" t="s">
        <v>1121</v>
      </c>
      <c r="K22" s="146"/>
    </row>
    <row r="23" spans="1:11" ht="75" x14ac:dyDescent="0.25">
      <c r="A23" s="95"/>
      <c r="B23" s="105" t="s">
        <v>1135</v>
      </c>
      <c r="C23" s="108" t="s">
        <v>1136</v>
      </c>
      <c r="D23" s="107">
        <v>3</v>
      </c>
      <c r="E23" s="110" t="s">
        <v>1134</v>
      </c>
      <c r="F23" s="102">
        <v>300000</v>
      </c>
      <c r="G23" s="94">
        <f t="shared" si="0"/>
        <v>900000</v>
      </c>
      <c r="H23" s="78" t="s">
        <v>977</v>
      </c>
      <c r="I23" s="78" t="s">
        <v>895</v>
      </c>
      <c r="J23" s="104" t="s">
        <v>1121</v>
      </c>
      <c r="K23" s="146"/>
    </row>
    <row r="24" spans="1:11" x14ac:dyDescent="0.25">
      <c r="A24" s="75"/>
      <c r="B24" s="75"/>
      <c r="C24" s="75"/>
      <c r="D24" s="90" t="s">
        <v>1099</v>
      </c>
      <c r="E24" s="91"/>
      <c r="F24" s="92"/>
      <c r="G24" s="93">
        <f>SUM(G14:G23)</f>
        <v>19492000</v>
      </c>
      <c r="H24" s="75"/>
      <c r="I24" s="75"/>
      <c r="J24" s="75"/>
      <c r="K24" s="75"/>
    </row>
    <row r="25" spans="1:11" x14ac:dyDescent="0.25">
      <c r="A25" s="3"/>
      <c r="B25" s="3"/>
      <c r="C25" s="3"/>
      <c r="D25" s="3"/>
      <c r="E25" s="3"/>
      <c r="F25" s="3"/>
      <c r="G25" s="3"/>
      <c r="H25" s="3"/>
      <c r="I25" s="3"/>
      <c r="J25" s="3"/>
      <c r="K25" s="3"/>
    </row>
    <row r="26" spans="1:11" x14ac:dyDescent="0.25">
      <c r="A26" s="3"/>
      <c r="B26" s="3"/>
      <c r="C26" s="3"/>
      <c r="D26" s="3"/>
      <c r="E26" s="3"/>
      <c r="F26" s="3"/>
      <c r="G26" s="3"/>
      <c r="H26" s="3"/>
      <c r="I26" s="3"/>
      <c r="J26" s="3"/>
      <c r="K26" s="3"/>
    </row>
    <row r="27" spans="1:11" x14ac:dyDescent="0.25">
      <c r="A27" s="3"/>
      <c r="B27" s="3"/>
      <c r="C27" s="3"/>
      <c r="D27" s="3"/>
      <c r="E27" s="3"/>
      <c r="F27" s="3"/>
      <c r="G27" s="3"/>
      <c r="H27" s="3"/>
      <c r="I27" s="3"/>
      <c r="J27" s="3"/>
      <c r="K27" s="3"/>
    </row>
    <row r="28" spans="1:11" x14ac:dyDescent="0.25">
      <c r="A28" s="9" t="s">
        <v>1100</v>
      </c>
      <c r="B28" s="3"/>
      <c r="C28" s="9" t="s">
        <v>1102</v>
      </c>
      <c r="D28" s="3"/>
      <c r="E28" s="9" t="s">
        <v>1103</v>
      </c>
      <c r="F28" s="3"/>
      <c r="G28" s="3"/>
      <c r="H28" s="3" t="s">
        <v>1104</v>
      </c>
      <c r="I28" s="3"/>
      <c r="J28" s="3"/>
      <c r="K28" s="3"/>
    </row>
    <row r="29" spans="1:11" x14ac:dyDescent="0.25">
      <c r="A29" s="9"/>
      <c r="B29" s="3"/>
      <c r="C29" s="9" t="s">
        <v>1105</v>
      </c>
      <c r="D29" s="3"/>
      <c r="E29" s="9" t="s">
        <v>1105</v>
      </c>
      <c r="F29" s="3"/>
      <c r="G29" s="3"/>
      <c r="H29" s="3" t="s">
        <v>1105</v>
      </c>
      <c r="I29" s="3"/>
      <c r="J29" s="3"/>
      <c r="K29" s="3"/>
    </row>
    <row r="30" spans="1:11" x14ac:dyDescent="0.25">
      <c r="A30" s="9"/>
      <c r="B30" s="3"/>
      <c r="C30" s="9"/>
      <c r="D30" s="3"/>
      <c r="E30" s="9"/>
      <c r="F30" s="3"/>
      <c r="G30" s="3"/>
      <c r="H30" s="3"/>
      <c r="I30" s="3"/>
      <c r="J30" s="3"/>
      <c r="K30" s="3"/>
    </row>
    <row r="31" spans="1:11" x14ac:dyDescent="0.25">
      <c r="A31" s="9"/>
      <c r="B31" s="3"/>
      <c r="C31" s="9"/>
      <c r="D31" s="3"/>
      <c r="E31" s="9"/>
      <c r="F31" s="3"/>
      <c r="G31" s="3"/>
      <c r="H31" s="3"/>
      <c r="I31" s="3"/>
      <c r="J31" s="3"/>
      <c r="K31" s="3"/>
    </row>
    <row r="32" spans="1:11" x14ac:dyDescent="0.25">
      <c r="A32" s="9"/>
      <c r="B32" s="3"/>
      <c r="C32" s="9"/>
      <c r="D32" s="3"/>
      <c r="E32" s="9"/>
      <c r="F32" s="3"/>
      <c r="G32" s="3"/>
      <c r="H32" s="3"/>
      <c r="I32" s="3"/>
      <c r="J32" s="3"/>
      <c r="K32" s="3"/>
    </row>
    <row r="33" spans="1:11" x14ac:dyDescent="0.25">
      <c r="A33" s="9"/>
      <c r="B33" s="3"/>
      <c r="C33" s="9"/>
      <c r="D33" s="3"/>
      <c r="E33" s="9"/>
      <c r="F33" s="3"/>
      <c r="G33" s="3"/>
      <c r="H33" s="3"/>
      <c r="I33" s="3"/>
      <c r="J33" s="3"/>
      <c r="K33" s="3"/>
    </row>
    <row r="34" spans="1:11" x14ac:dyDescent="0.25">
      <c r="A34" s="10" t="s">
        <v>1147</v>
      </c>
      <c r="B34" s="3"/>
      <c r="C34" s="84" t="s">
        <v>1137</v>
      </c>
      <c r="D34" s="3"/>
      <c r="E34" s="10" t="s">
        <v>1109</v>
      </c>
      <c r="F34" s="3"/>
      <c r="G34" s="3"/>
      <c r="H34" s="11" t="s">
        <v>1110</v>
      </c>
      <c r="I34" s="3"/>
      <c r="J34" s="3"/>
      <c r="K34" s="3"/>
    </row>
    <row r="35" spans="1:11" x14ac:dyDescent="0.25">
      <c r="A35" s="9" t="s">
        <v>1138</v>
      </c>
      <c r="B35" s="3"/>
      <c r="C35" s="85" t="s">
        <v>1139</v>
      </c>
      <c r="D35" s="3"/>
      <c r="E35" s="9" t="s">
        <v>1114</v>
      </c>
      <c r="F35" s="3"/>
      <c r="G35" s="3"/>
      <c r="H35" s="3" t="s">
        <v>1115</v>
      </c>
      <c r="I35" s="3"/>
      <c r="J35" s="3"/>
      <c r="K35" s="3"/>
    </row>
    <row r="36" spans="1:11" x14ac:dyDescent="0.25">
      <c r="A36" s="3"/>
      <c r="B36" s="3"/>
      <c r="C36" s="3"/>
      <c r="D36" s="3"/>
      <c r="E36" s="3"/>
      <c r="F36" s="3"/>
      <c r="G36" s="3"/>
      <c r="H36" s="3"/>
      <c r="I36" s="3"/>
      <c r="J36" s="3"/>
      <c r="K36" s="3"/>
    </row>
    <row r="37" spans="1:11" x14ac:dyDescent="0.25">
      <c r="A37" s="3"/>
      <c r="B37" s="115"/>
      <c r="C37" s="83"/>
      <c r="D37" s="3"/>
      <c r="E37" s="3"/>
      <c r="F37" s="3"/>
      <c r="G37" s="3"/>
      <c r="H37" s="3"/>
      <c r="I37" s="3"/>
      <c r="J37" s="3"/>
      <c r="K37" s="3"/>
    </row>
  </sheetData>
  <mergeCells count="4">
    <mergeCell ref="A1:K1"/>
    <mergeCell ref="A2:K2"/>
    <mergeCell ref="A14:A22"/>
    <mergeCell ref="K14:K23"/>
  </mergeCells>
  <pageMargins left="0.7" right="0.7" top="0.75" bottom="0.75" header="0.3" footer="0.3"/>
  <legacyDrawing r:id="rId1"/>
  <extLst>
    <ext xmlns:x14="http://schemas.microsoft.com/office/spreadsheetml/2009/9/main" uri="{CCE6A557-97BC-4b89-ADB6-D9C93CAAB3DF}">
      <x14:dataValidations xmlns:xm="http://schemas.microsoft.com/office/excel/2006/main" count="7">
        <x14:dataValidation type="list" allowBlank="1" showInputMessage="1" showErrorMessage="1">
          <x14:formula1>
            <xm:f>'kode M A K'!$C$277:$C$328</xm:f>
          </x14:formula1>
          <xm:sqref>H14:H23</xm:sqref>
        </x14:dataValidation>
        <x14:dataValidation type="list" allowBlank="1" showInputMessage="1" showErrorMessage="1">
          <x14:formula1>
            <xm:f>'kode M A K'!$F$234:$F$235</xm:f>
          </x14:formula1>
          <xm:sqref>I14:I23</xm:sqref>
        </x14:dataValidation>
        <x14:dataValidation type="list" allowBlank="1" showInputMessage="1" showErrorMessage="1">
          <x14:formula1>
            <xm:f>'kode M A K'!$C$240:$C$272</xm:f>
          </x14:formula1>
          <xm:sqref>E15:E21</xm:sqref>
        </x14:dataValidation>
        <x14:dataValidation type="list" allowBlank="1" showInputMessage="1" showErrorMessage="1">
          <x14:formula1>
            <xm:f>'kode M A K'!$D$234:$D$235</xm:f>
          </x14:formula1>
          <xm:sqref>B10</xm:sqref>
        </x14:dataValidation>
        <x14:dataValidation type="list" allowBlank="1" showInputMessage="1" showErrorMessage="1">
          <x14:formula1>
            <xm:f>'kode M A K'!$C$234:$C$237</xm:f>
          </x14:formula1>
          <xm:sqref>B7</xm:sqref>
        </x14:dataValidation>
        <x14:dataValidation type="list" allowBlank="1" showInputMessage="1" showErrorMessage="1">
          <x14:formula1>
            <xm:f>'kode M A K'!$F$2:$F$228</xm:f>
          </x14:formula1>
          <xm:sqref>B11</xm:sqref>
        </x14:dataValidation>
        <x14:dataValidation type="list" allowBlank="1" showInputMessage="1" showErrorMessage="1">
          <x14:formula1>
            <xm:f>'kode M A K'!$C$332:$C$361</xm:f>
          </x14:formula1>
          <xm:sqref>B4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13" sqref="F13"/>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34"/>
  <sheetViews>
    <sheetView view="pageBreakPreview" zoomScale="70" zoomScaleNormal="100" zoomScaleSheetLayoutView="70" workbookViewId="0">
      <selection activeCell="I13" sqref="I13:I22"/>
    </sheetView>
  </sheetViews>
  <sheetFormatPr defaultColWidth="9.140625" defaultRowHeight="15" x14ac:dyDescent="0.25"/>
  <cols>
    <col min="1" max="1" width="30.7109375" style="3" customWidth="1"/>
    <col min="2" max="2" width="28.85546875" style="3" customWidth="1"/>
    <col min="3" max="3" width="26.42578125" style="3" customWidth="1"/>
    <col min="4" max="5" width="19" style="3" customWidth="1"/>
    <col min="6" max="7" width="20.140625" style="3" customWidth="1"/>
    <col min="8" max="8" width="17.5703125" style="75" customWidth="1"/>
    <col min="9" max="9" width="25.28515625" style="3" customWidth="1"/>
    <col min="10" max="10" width="21.85546875" style="3" customWidth="1"/>
    <col min="11" max="11" width="21.28515625" style="3" customWidth="1"/>
    <col min="12" max="16384" width="9.140625" style="3"/>
  </cols>
  <sheetData>
    <row r="1" spans="1:11" ht="23.25" x14ac:dyDescent="0.25">
      <c r="B1" s="140" t="s">
        <v>1078</v>
      </c>
      <c r="C1" s="140"/>
      <c r="D1" s="140"/>
      <c r="E1" s="140"/>
      <c r="F1" s="140"/>
      <c r="G1" s="140"/>
      <c r="H1" s="140"/>
      <c r="I1" s="140"/>
      <c r="J1" s="140"/>
      <c r="K1" s="140"/>
    </row>
    <row r="2" spans="1:11" ht="24" thickBot="1" x14ac:dyDescent="0.3">
      <c r="A2" s="25"/>
      <c r="B2" s="147" t="s">
        <v>1079</v>
      </c>
      <c r="C2" s="147"/>
      <c r="D2" s="147"/>
      <c r="E2" s="147"/>
      <c r="F2" s="147"/>
      <c r="G2" s="147"/>
      <c r="H2" s="147"/>
      <c r="I2" s="147"/>
      <c r="J2" s="147"/>
      <c r="K2" s="147"/>
    </row>
    <row r="3" spans="1:11" ht="16.5" thickTop="1" thickBot="1" x14ac:dyDescent="0.3"/>
    <row r="4" spans="1:11" ht="21" thickBot="1" x14ac:dyDescent="0.3">
      <c r="A4" s="4" t="s">
        <v>1080</v>
      </c>
      <c r="B4" s="4"/>
      <c r="K4" s="5" t="s">
        <v>1148</v>
      </c>
    </row>
    <row r="5" spans="1:11" ht="18" hidden="1" x14ac:dyDescent="0.25">
      <c r="A5" s="4" t="s">
        <v>1082</v>
      </c>
      <c r="B5" s="4"/>
    </row>
    <row r="6" spans="1:11" ht="18" x14ac:dyDescent="0.25">
      <c r="A6" s="4" t="s">
        <v>1083</v>
      </c>
      <c r="B6" s="4" t="s">
        <v>1084</v>
      </c>
    </row>
    <row r="7" spans="1:11" ht="18" x14ac:dyDescent="0.25">
      <c r="A7" s="4" t="s">
        <v>1085</v>
      </c>
      <c r="B7" s="4"/>
    </row>
    <row r="8" spans="1:11" ht="18" x14ac:dyDescent="0.25">
      <c r="A8" s="4" t="s">
        <v>1086</v>
      </c>
      <c r="B8" s="4" t="s">
        <v>1149</v>
      </c>
    </row>
    <row r="9" spans="1:11" ht="18" x14ac:dyDescent="0.25">
      <c r="A9" s="4" t="s">
        <v>1088</v>
      </c>
      <c r="B9" s="4"/>
    </row>
    <row r="10" spans="1:11" ht="18" x14ac:dyDescent="0.25">
      <c r="A10" s="4" t="s">
        <v>3</v>
      </c>
      <c r="B10" s="68"/>
    </row>
    <row r="12" spans="1:11" ht="38.25" customHeight="1" x14ac:dyDescent="0.25">
      <c r="A12" s="6" t="s">
        <v>1089</v>
      </c>
      <c r="B12" s="6" t="s">
        <v>1090</v>
      </c>
      <c r="C12" s="6" t="s">
        <v>1091</v>
      </c>
      <c r="D12" s="6" t="s">
        <v>1092</v>
      </c>
      <c r="E12" s="6" t="s">
        <v>1093</v>
      </c>
      <c r="F12" s="6" t="s">
        <v>1094</v>
      </c>
      <c r="G12" s="6" t="s">
        <v>1095</v>
      </c>
      <c r="H12" s="6" t="s">
        <v>1096</v>
      </c>
      <c r="I12" s="6" t="s">
        <v>889</v>
      </c>
      <c r="J12" s="6" t="s">
        <v>884</v>
      </c>
      <c r="K12" s="12" t="s">
        <v>1097</v>
      </c>
    </row>
    <row r="13" spans="1:11" ht="45" x14ac:dyDescent="0.25">
      <c r="A13" s="13"/>
      <c r="B13" s="13"/>
      <c r="C13" s="13"/>
      <c r="D13" s="13"/>
      <c r="E13" s="13"/>
      <c r="F13" s="13"/>
      <c r="G13" s="14">
        <f>D13*F13</f>
        <v>0</v>
      </c>
      <c r="H13" s="71"/>
      <c r="I13" s="13"/>
      <c r="J13" s="7" t="s">
        <v>1098</v>
      </c>
      <c r="K13" s="13"/>
    </row>
    <row r="14" spans="1:11" x14ac:dyDescent="0.25">
      <c r="A14" s="13"/>
      <c r="B14" s="13"/>
      <c r="C14" s="13"/>
      <c r="D14" s="13"/>
      <c r="E14" s="13"/>
      <c r="F14" s="13"/>
      <c r="G14" s="14">
        <f t="shared" ref="G14:G22" si="0">D14*F14</f>
        <v>0</v>
      </c>
      <c r="H14" s="71"/>
      <c r="I14" s="13"/>
      <c r="J14" s="7"/>
      <c r="K14" s="13"/>
    </row>
    <row r="15" spans="1:11" x14ac:dyDescent="0.25">
      <c r="A15" s="13"/>
      <c r="B15" s="13"/>
      <c r="C15" s="13"/>
      <c r="D15" s="13"/>
      <c r="E15" s="13"/>
      <c r="F15" s="13"/>
      <c r="G15" s="14">
        <f t="shared" si="0"/>
        <v>0</v>
      </c>
      <c r="H15" s="71"/>
      <c r="I15" s="13"/>
      <c r="J15" s="13"/>
      <c r="K15" s="13"/>
    </row>
    <row r="16" spans="1:11" x14ac:dyDescent="0.25">
      <c r="A16" s="13"/>
      <c r="B16" s="13"/>
      <c r="C16" s="13"/>
      <c r="D16" s="13"/>
      <c r="E16" s="13"/>
      <c r="F16" s="13"/>
      <c r="G16" s="14">
        <f t="shared" si="0"/>
        <v>0</v>
      </c>
      <c r="H16" s="71"/>
      <c r="I16" s="13"/>
      <c r="J16" s="13"/>
      <c r="K16" s="13"/>
    </row>
    <row r="17" spans="1:11" x14ac:dyDescent="0.25">
      <c r="A17" s="13"/>
      <c r="B17" s="13"/>
      <c r="C17" s="13"/>
      <c r="D17" s="13"/>
      <c r="E17" s="13"/>
      <c r="F17" s="13"/>
      <c r="G17" s="14">
        <f t="shared" si="0"/>
        <v>0</v>
      </c>
      <c r="H17" s="71"/>
      <c r="I17" s="13"/>
      <c r="J17" s="13"/>
      <c r="K17" s="13"/>
    </row>
    <row r="18" spans="1:11" x14ac:dyDescent="0.25">
      <c r="A18" s="13"/>
      <c r="B18" s="13"/>
      <c r="C18" s="13"/>
      <c r="D18" s="13"/>
      <c r="E18" s="13"/>
      <c r="F18" s="13"/>
      <c r="G18" s="14">
        <f t="shared" si="0"/>
        <v>0</v>
      </c>
      <c r="H18" s="71"/>
      <c r="I18" s="13"/>
      <c r="J18" s="13"/>
      <c r="K18" s="13"/>
    </row>
    <row r="19" spans="1:11" x14ac:dyDescent="0.25">
      <c r="A19" s="13"/>
      <c r="B19" s="13"/>
      <c r="C19" s="13"/>
      <c r="D19" s="13"/>
      <c r="E19" s="13"/>
      <c r="F19" s="13"/>
      <c r="G19" s="14">
        <f t="shared" si="0"/>
        <v>0</v>
      </c>
      <c r="H19" s="71"/>
      <c r="I19" s="13"/>
      <c r="J19" s="13"/>
      <c r="K19" s="13"/>
    </row>
    <row r="20" spans="1:11" x14ac:dyDescent="0.25">
      <c r="A20" s="13"/>
      <c r="B20" s="13"/>
      <c r="C20" s="13"/>
      <c r="D20" s="13"/>
      <c r="E20" s="13"/>
      <c r="F20" s="13"/>
      <c r="G20" s="14">
        <f t="shared" si="0"/>
        <v>0</v>
      </c>
      <c r="H20" s="71"/>
      <c r="I20" s="13"/>
      <c r="J20" s="13"/>
      <c r="K20" s="13"/>
    </row>
    <row r="21" spans="1:11" x14ac:dyDescent="0.25">
      <c r="A21" s="13"/>
      <c r="B21" s="13"/>
      <c r="C21" s="13"/>
      <c r="D21" s="13"/>
      <c r="E21" s="13"/>
      <c r="F21" s="13"/>
      <c r="G21" s="14">
        <f t="shared" si="0"/>
        <v>0</v>
      </c>
      <c r="H21" s="71"/>
      <c r="I21" s="13"/>
      <c r="J21" s="13"/>
      <c r="K21" s="13"/>
    </row>
    <row r="22" spans="1:11" x14ac:dyDescent="0.25">
      <c r="A22" s="13"/>
      <c r="B22" s="13"/>
      <c r="C22" s="13"/>
      <c r="D22" s="13"/>
      <c r="E22" s="13"/>
      <c r="F22" s="13"/>
      <c r="G22" s="14">
        <f t="shared" si="0"/>
        <v>0</v>
      </c>
      <c r="H22" s="71"/>
      <c r="I22" s="13"/>
      <c r="J22" s="13"/>
      <c r="K22" s="13"/>
    </row>
    <row r="23" spans="1:11" x14ac:dyDescent="0.25">
      <c r="D23" s="64" t="s">
        <v>1099</v>
      </c>
      <c r="E23" s="27"/>
      <c r="F23" s="28"/>
      <c r="G23" s="8">
        <f>SUM(G13:G22)</f>
        <v>0</v>
      </c>
    </row>
    <row r="27" spans="1:11" x14ac:dyDescent="0.25">
      <c r="A27" s="9" t="s">
        <v>1100</v>
      </c>
      <c r="C27" s="3" t="s">
        <v>1101</v>
      </c>
      <c r="E27" s="9" t="s">
        <v>1102</v>
      </c>
      <c r="H27" s="76" t="s">
        <v>1103</v>
      </c>
      <c r="J27" s="3" t="s">
        <v>1104</v>
      </c>
    </row>
    <row r="28" spans="1:11" x14ac:dyDescent="0.25">
      <c r="A28" s="9"/>
      <c r="C28" s="3" t="s">
        <v>1105</v>
      </c>
      <c r="E28" s="9" t="s">
        <v>1105</v>
      </c>
      <c r="H28" s="76" t="s">
        <v>1105</v>
      </c>
      <c r="J28" s="3" t="s">
        <v>1105</v>
      </c>
    </row>
    <row r="29" spans="1:11" x14ac:dyDescent="0.25">
      <c r="A29" s="9"/>
      <c r="E29" s="9"/>
      <c r="H29" s="76"/>
    </row>
    <row r="30" spans="1:11" x14ac:dyDescent="0.25">
      <c r="A30" s="9"/>
      <c r="E30" s="9"/>
      <c r="H30" s="76"/>
    </row>
    <row r="31" spans="1:11" x14ac:dyDescent="0.25">
      <c r="A31" s="9"/>
      <c r="E31" s="9"/>
      <c r="H31" s="76"/>
    </row>
    <row r="32" spans="1:11" x14ac:dyDescent="0.25">
      <c r="A32" s="9"/>
      <c r="E32" s="9"/>
      <c r="H32" s="76"/>
    </row>
    <row r="33" spans="1:10" x14ac:dyDescent="0.25">
      <c r="A33" s="10" t="s">
        <v>1106</v>
      </c>
      <c r="C33" s="11" t="s">
        <v>1107</v>
      </c>
      <c r="E33" s="10" t="s">
        <v>1108</v>
      </c>
      <c r="H33" s="77" t="s">
        <v>1109</v>
      </c>
      <c r="J33" s="11" t="s">
        <v>1110</v>
      </c>
    </row>
    <row r="34" spans="1:10" x14ac:dyDescent="0.25">
      <c r="A34" s="9" t="s">
        <v>1111</v>
      </c>
      <c r="C34" s="3" t="s">
        <v>1112</v>
      </c>
      <c r="E34" s="9" t="s">
        <v>1150</v>
      </c>
      <c r="H34" s="76" t="s">
        <v>1114</v>
      </c>
      <c r="J34" s="3" t="s">
        <v>1115</v>
      </c>
    </row>
  </sheetData>
  <mergeCells count="2">
    <mergeCell ref="B1:K1"/>
    <mergeCell ref="B2:K2"/>
  </mergeCells>
  <pageMargins left="0.23" right="0.17" top="0.61" bottom="0.75" header="0.3" footer="0.3"/>
  <pageSetup paperSize="9" scale="57" orientation="landscape" r:id="rId1"/>
  <legacyDrawing r:id="rId2"/>
  <extLst>
    <ext xmlns:x14="http://schemas.microsoft.com/office/spreadsheetml/2009/9/main" uri="{CCE6A557-97BC-4b89-ADB6-D9C93CAAB3DF}">
      <x14:dataValidations xmlns:xm="http://schemas.microsoft.com/office/excel/2006/main" count="7">
        <x14:dataValidation type="list" allowBlank="1" showInputMessage="1" showErrorMessage="1">
          <x14:formula1>
            <xm:f>'kode M A K'!$F$234:$F$235</xm:f>
          </x14:formula1>
          <xm:sqref>I13:I22</xm:sqref>
        </x14:dataValidation>
        <x14:dataValidation type="list" allowBlank="1" showInputMessage="1" showErrorMessage="1">
          <x14:formula1>
            <xm:f>'kode M A K'!$C$277:$C$328</xm:f>
          </x14:formula1>
          <xm:sqref>H13:H22</xm:sqref>
        </x14:dataValidation>
        <x14:dataValidation type="list" allowBlank="1" showInputMessage="1" showErrorMessage="1">
          <x14:formula1>
            <xm:f>'kode M A K'!$C$332:$C$361</xm:f>
          </x14:formula1>
          <xm:sqref>B4</xm:sqref>
        </x14:dataValidation>
        <x14:dataValidation type="list" allowBlank="1" showInputMessage="1" showErrorMessage="1">
          <x14:formula1>
            <xm:f>'kode M A K'!$F$2:$F$228</xm:f>
          </x14:formula1>
          <xm:sqref>B10</xm:sqref>
        </x14:dataValidation>
        <x14:dataValidation type="list" allowBlank="1" showInputMessage="1" showErrorMessage="1">
          <x14:formula1>
            <xm:f>'kode M A K'!$C$240:$C$272</xm:f>
          </x14:formula1>
          <xm:sqref>E13:E22</xm:sqref>
        </x14:dataValidation>
        <x14:dataValidation type="list" allowBlank="1" showInputMessage="1" showErrorMessage="1">
          <x14:formula1>
            <xm:f>'kode M A K'!$C$234:$C$237</xm:f>
          </x14:formula1>
          <xm:sqref>B6</xm:sqref>
        </x14:dataValidation>
        <x14:dataValidation type="list" allowBlank="1" showInputMessage="1" showErrorMessage="1">
          <x14:formula1>
            <xm:f>'kode M A K'!$D$234:$D$235</xm:f>
          </x14:formula1>
          <xm:sqref>B9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35"/>
  <sheetViews>
    <sheetView zoomScale="70" zoomScaleNormal="70" workbookViewId="0">
      <selection activeCell="I14" sqref="I14:I23"/>
    </sheetView>
  </sheetViews>
  <sheetFormatPr defaultColWidth="9.140625" defaultRowHeight="15" x14ac:dyDescent="0.25"/>
  <cols>
    <col min="1" max="1" width="33.28515625" style="3" customWidth="1"/>
    <col min="2" max="2" width="32.85546875" style="3" customWidth="1"/>
    <col min="3" max="3" width="38.28515625" style="3" customWidth="1"/>
    <col min="4" max="4" width="15.28515625" style="3" customWidth="1"/>
    <col min="5" max="5" width="14.7109375" style="3" customWidth="1"/>
    <col min="6" max="6" width="17.85546875" style="3" customWidth="1"/>
    <col min="7" max="7" width="18" style="3" bestFit="1" customWidth="1"/>
    <col min="8" max="8" width="17" style="3" customWidth="1"/>
    <col min="9" max="9" width="25.28515625" style="3" customWidth="1"/>
    <col min="10" max="10" width="21.85546875" style="3" customWidth="1"/>
    <col min="11" max="11" width="21.28515625" style="3" customWidth="1"/>
    <col min="12" max="16384" width="9.140625" style="3"/>
  </cols>
  <sheetData>
    <row r="1" spans="1:11" ht="23.25" x14ac:dyDescent="0.25">
      <c r="B1" s="140" t="s">
        <v>1078</v>
      </c>
      <c r="C1" s="140"/>
      <c r="D1" s="140"/>
      <c r="E1" s="140"/>
      <c r="F1" s="140"/>
      <c r="G1" s="140"/>
      <c r="H1" s="140"/>
      <c r="I1" s="140"/>
      <c r="J1" s="140"/>
      <c r="K1" s="140"/>
    </row>
    <row r="2" spans="1:11" ht="24" thickBot="1" x14ac:dyDescent="0.3">
      <c r="B2" s="147" t="s">
        <v>1079</v>
      </c>
      <c r="C2" s="147"/>
      <c r="D2" s="147"/>
      <c r="E2" s="147"/>
      <c r="F2" s="147"/>
      <c r="G2" s="147"/>
      <c r="H2" s="147"/>
      <c r="I2" s="147"/>
      <c r="J2" s="147"/>
      <c r="K2" s="147"/>
    </row>
    <row r="3" spans="1:11" ht="16.5" thickTop="1" thickBot="1" x14ac:dyDescent="0.3"/>
    <row r="4" spans="1:11" ht="21" thickBot="1" x14ac:dyDescent="0.3">
      <c r="A4" s="4" t="s">
        <v>1080</v>
      </c>
      <c r="B4" s="4"/>
      <c r="K4" s="5" t="s">
        <v>1148</v>
      </c>
    </row>
    <row r="5" spans="1:11" ht="18" x14ac:dyDescent="0.25">
      <c r="A5" s="4" t="s">
        <v>1082</v>
      </c>
      <c r="B5" s="4"/>
    </row>
    <row r="6" spans="1:11" ht="18" hidden="1" x14ac:dyDescent="0.25">
      <c r="A6" s="4"/>
      <c r="B6" s="4"/>
    </row>
    <row r="7" spans="1:11" ht="18" x14ac:dyDescent="0.25">
      <c r="A7" s="4" t="s">
        <v>1083</v>
      </c>
      <c r="B7" s="4" t="s">
        <v>1084</v>
      </c>
    </row>
    <row r="8" spans="1:11" ht="18" x14ac:dyDescent="0.25">
      <c r="A8" s="4" t="s">
        <v>1085</v>
      </c>
      <c r="B8" s="4"/>
    </row>
    <row r="9" spans="1:11" ht="18" x14ac:dyDescent="0.25">
      <c r="A9" s="4" t="s">
        <v>1086</v>
      </c>
      <c r="B9" s="4" t="s">
        <v>1149</v>
      </c>
    </row>
    <row r="10" spans="1:11" ht="18" x14ac:dyDescent="0.25">
      <c r="A10" s="4" t="s">
        <v>1088</v>
      </c>
      <c r="B10" s="4"/>
    </row>
    <row r="11" spans="1:11" ht="18" x14ac:dyDescent="0.25">
      <c r="A11" s="4" t="s">
        <v>3</v>
      </c>
      <c r="B11" s="68"/>
    </row>
    <row r="13" spans="1:11" ht="31.5" x14ac:dyDescent="0.25">
      <c r="A13" s="6" t="s">
        <v>1089</v>
      </c>
      <c r="B13" s="6" t="s">
        <v>1090</v>
      </c>
      <c r="C13" s="6" t="s">
        <v>1091</v>
      </c>
      <c r="D13" s="6" t="s">
        <v>1092</v>
      </c>
      <c r="E13" s="6" t="s">
        <v>1093</v>
      </c>
      <c r="F13" s="6" t="s">
        <v>1094</v>
      </c>
      <c r="G13" s="6" t="s">
        <v>1095</v>
      </c>
      <c r="H13" s="6" t="s">
        <v>1096</v>
      </c>
      <c r="I13" s="6" t="s">
        <v>889</v>
      </c>
      <c r="J13" s="6" t="s">
        <v>884</v>
      </c>
      <c r="K13" s="12" t="s">
        <v>1097</v>
      </c>
    </row>
    <row r="14" spans="1:11" s="75" customFormat="1" ht="45" x14ac:dyDescent="0.25">
      <c r="A14" s="71"/>
      <c r="B14" s="71"/>
      <c r="C14" s="71"/>
      <c r="D14" s="71"/>
      <c r="E14" s="71"/>
      <c r="F14" s="71"/>
      <c r="G14" s="72">
        <f>D14*F14</f>
        <v>0</v>
      </c>
      <c r="H14" s="71"/>
      <c r="I14" s="71"/>
      <c r="J14" s="74" t="s">
        <v>1098</v>
      </c>
      <c r="K14" s="71"/>
    </row>
    <row r="15" spans="1:11" s="75" customFormat="1" x14ac:dyDescent="0.25">
      <c r="A15" s="71"/>
      <c r="B15" s="71"/>
      <c r="C15" s="71"/>
      <c r="D15" s="71"/>
      <c r="E15" s="71"/>
      <c r="F15" s="71"/>
      <c r="G15" s="72">
        <f t="shared" ref="G15:G23" si="0">D15*F15</f>
        <v>0</v>
      </c>
      <c r="H15" s="71"/>
      <c r="I15" s="71"/>
      <c r="J15" s="74"/>
      <c r="K15" s="71"/>
    </row>
    <row r="16" spans="1:11" s="75" customFormat="1" x14ac:dyDescent="0.25">
      <c r="A16" s="71"/>
      <c r="B16" s="71"/>
      <c r="C16" s="71"/>
      <c r="D16" s="71"/>
      <c r="E16" s="71"/>
      <c r="F16" s="71"/>
      <c r="G16" s="72">
        <f t="shared" si="0"/>
        <v>0</v>
      </c>
      <c r="H16" s="71"/>
      <c r="I16" s="71"/>
      <c r="J16" s="71"/>
      <c r="K16" s="71"/>
    </row>
    <row r="17" spans="1:11" s="75" customFormat="1" x14ac:dyDescent="0.25">
      <c r="A17" s="71"/>
      <c r="B17" s="71"/>
      <c r="C17" s="71"/>
      <c r="D17" s="71"/>
      <c r="E17" s="71"/>
      <c r="F17" s="71"/>
      <c r="G17" s="72">
        <f t="shared" si="0"/>
        <v>0</v>
      </c>
      <c r="H17" s="71"/>
      <c r="I17" s="71"/>
      <c r="J17" s="71"/>
      <c r="K17" s="71"/>
    </row>
    <row r="18" spans="1:11" s="75" customFormat="1" x14ac:dyDescent="0.25">
      <c r="A18" s="71"/>
      <c r="B18" s="71"/>
      <c r="C18" s="71"/>
      <c r="D18" s="71"/>
      <c r="E18" s="71"/>
      <c r="F18" s="71"/>
      <c r="G18" s="72">
        <f t="shared" si="0"/>
        <v>0</v>
      </c>
      <c r="H18" s="71"/>
      <c r="I18" s="71"/>
      <c r="J18" s="71"/>
      <c r="K18" s="71"/>
    </row>
    <row r="19" spans="1:11" s="75" customFormat="1" x14ac:dyDescent="0.25">
      <c r="A19" s="71"/>
      <c r="B19" s="71"/>
      <c r="C19" s="71"/>
      <c r="D19" s="71"/>
      <c r="E19" s="71"/>
      <c r="F19" s="71"/>
      <c r="G19" s="72">
        <f t="shared" si="0"/>
        <v>0</v>
      </c>
      <c r="H19" s="71"/>
      <c r="I19" s="71"/>
      <c r="J19" s="71"/>
      <c r="K19" s="71"/>
    </row>
    <row r="20" spans="1:11" s="75" customFormat="1" x14ac:dyDescent="0.25">
      <c r="A20" s="71"/>
      <c r="B20" s="71"/>
      <c r="C20" s="71"/>
      <c r="D20" s="71"/>
      <c r="E20" s="71"/>
      <c r="F20" s="71"/>
      <c r="G20" s="72">
        <f t="shared" si="0"/>
        <v>0</v>
      </c>
      <c r="H20" s="71"/>
      <c r="I20" s="71"/>
      <c r="J20" s="71"/>
      <c r="K20" s="71"/>
    </row>
    <row r="21" spans="1:11" s="75" customFormat="1" x14ac:dyDescent="0.25">
      <c r="A21" s="71"/>
      <c r="B21" s="71"/>
      <c r="C21" s="71"/>
      <c r="D21" s="71"/>
      <c r="E21" s="71"/>
      <c r="F21" s="71"/>
      <c r="G21" s="72">
        <f t="shared" si="0"/>
        <v>0</v>
      </c>
      <c r="H21" s="71"/>
      <c r="I21" s="71"/>
      <c r="J21" s="71"/>
      <c r="K21" s="71"/>
    </row>
    <row r="22" spans="1:11" s="75" customFormat="1" x14ac:dyDescent="0.25">
      <c r="A22" s="71"/>
      <c r="B22" s="71"/>
      <c r="C22" s="71"/>
      <c r="D22" s="71"/>
      <c r="E22" s="71"/>
      <c r="F22" s="71"/>
      <c r="G22" s="72">
        <f t="shared" si="0"/>
        <v>0</v>
      </c>
      <c r="H22" s="71"/>
      <c r="I22" s="71"/>
      <c r="J22" s="71"/>
      <c r="K22" s="71"/>
    </row>
    <row r="23" spans="1:11" s="75" customFormat="1" x14ac:dyDescent="0.25">
      <c r="A23" s="71"/>
      <c r="B23" s="71"/>
      <c r="C23" s="71"/>
      <c r="D23" s="71"/>
      <c r="E23" s="71"/>
      <c r="F23" s="71"/>
      <c r="G23" s="72">
        <f t="shared" si="0"/>
        <v>0</v>
      </c>
      <c r="H23" s="71"/>
      <c r="I23" s="71"/>
      <c r="J23" s="71"/>
      <c r="K23" s="71"/>
    </row>
    <row r="24" spans="1:11" x14ac:dyDescent="0.25">
      <c r="D24" s="64" t="s">
        <v>1099</v>
      </c>
      <c r="E24" s="27"/>
      <c r="F24" s="28"/>
      <c r="G24" s="8">
        <f>SUM(G14:G23)</f>
        <v>0</v>
      </c>
    </row>
    <row r="28" spans="1:11" x14ac:dyDescent="0.25">
      <c r="A28" s="9" t="s">
        <v>1100</v>
      </c>
      <c r="C28" s="9" t="s">
        <v>1102</v>
      </c>
      <c r="E28" s="9" t="s">
        <v>1103</v>
      </c>
      <c r="H28" s="3" t="s">
        <v>1104</v>
      </c>
    </row>
    <row r="29" spans="1:11" x14ac:dyDescent="0.25">
      <c r="A29" s="9"/>
      <c r="C29" s="9" t="s">
        <v>1105</v>
      </c>
      <c r="E29" s="9" t="s">
        <v>1105</v>
      </c>
      <c r="H29" s="3" t="s">
        <v>1105</v>
      </c>
    </row>
    <row r="30" spans="1:11" x14ac:dyDescent="0.25">
      <c r="A30" s="9"/>
      <c r="C30" s="9"/>
      <c r="E30" s="9"/>
    </row>
    <row r="31" spans="1:11" x14ac:dyDescent="0.25">
      <c r="A31" s="9"/>
      <c r="C31" s="9"/>
      <c r="E31" s="9"/>
    </row>
    <row r="32" spans="1:11" x14ac:dyDescent="0.25">
      <c r="A32" s="9"/>
      <c r="C32" s="9"/>
      <c r="E32" s="9"/>
    </row>
    <row r="33" spans="1:8" x14ac:dyDescent="0.25">
      <c r="A33" s="9"/>
      <c r="C33" s="9"/>
      <c r="E33" s="9"/>
    </row>
    <row r="34" spans="1:8" x14ac:dyDescent="0.25">
      <c r="A34" s="10" t="s">
        <v>1106</v>
      </c>
      <c r="C34" s="10" t="s">
        <v>1151</v>
      </c>
      <c r="E34" s="10" t="s">
        <v>1109</v>
      </c>
      <c r="H34" s="11" t="s">
        <v>1110</v>
      </c>
    </row>
    <row r="35" spans="1:8" x14ac:dyDescent="0.25">
      <c r="A35" s="9" t="s">
        <v>1111</v>
      </c>
      <c r="C35" s="9" t="s">
        <v>1152</v>
      </c>
      <c r="E35" s="9" t="s">
        <v>1114</v>
      </c>
      <c r="H35" s="3" t="s">
        <v>1115</v>
      </c>
    </row>
  </sheetData>
  <customSheetViews>
    <customSheetView guid="{6FD40CE0-1F09-4936-B611-E995D0A8278F}" hiddenRows="1" topLeftCell="A19">
      <selection activeCell="B7" sqref="B7"/>
      <pageMargins left="0" right="0" top="0" bottom="0" header="0" footer="0"/>
      <pageSetup orientation="portrait" horizontalDpi="4294967293" verticalDpi="0" r:id="rId1"/>
    </customSheetView>
  </customSheetViews>
  <mergeCells count="2">
    <mergeCell ref="B1:K1"/>
    <mergeCell ref="B2:K2"/>
  </mergeCells>
  <phoneticPr fontId="9" type="noConversion"/>
  <dataValidations count="1">
    <dataValidation type="list" allowBlank="1" showInputMessage="1" showErrorMessage="1" sqref="B6">
      <formula1>#REF!</formula1>
    </dataValidation>
  </dataValidations>
  <pageMargins left="0.23" right="0.17" top="0.61" bottom="0.75" header="0.3" footer="0.3"/>
  <pageSetup paperSize="9" scale="50" orientation="landscape" r:id="rId2"/>
  <legacyDrawing r:id="rId3"/>
  <extLst>
    <ext xmlns:x14="http://schemas.microsoft.com/office/spreadsheetml/2009/9/main" uri="{CCE6A557-97BC-4b89-ADB6-D9C93CAAB3DF}">
      <x14:dataValidations xmlns:xm="http://schemas.microsoft.com/office/excel/2006/main" count="7">
        <x14:dataValidation type="list" allowBlank="1" showInputMessage="1" showErrorMessage="1">
          <x14:formula1>
            <xm:f>'kode M A K'!$C$277:$C$328</xm:f>
          </x14:formula1>
          <xm:sqref>H14:H23</xm:sqref>
        </x14:dataValidation>
        <x14:dataValidation type="list" allowBlank="1" showInputMessage="1" showErrorMessage="1">
          <x14:formula1>
            <xm:f>'kode M A K'!$C$332:$C$361</xm:f>
          </x14:formula1>
          <xm:sqref>B4</xm:sqref>
        </x14:dataValidation>
        <x14:dataValidation type="list" allowBlank="1" showInputMessage="1" showErrorMessage="1">
          <x14:formula1>
            <xm:f>'kode M A K'!$F$2:$F$228</xm:f>
          </x14:formula1>
          <xm:sqref>B11</xm:sqref>
        </x14:dataValidation>
        <x14:dataValidation type="list" allowBlank="1" showInputMessage="1" showErrorMessage="1">
          <x14:formula1>
            <xm:f>'kode M A K'!$C$240:$C$272</xm:f>
          </x14:formula1>
          <xm:sqref>E14:E23</xm:sqref>
        </x14:dataValidation>
        <x14:dataValidation type="list" allowBlank="1" showInputMessage="1" showErrorMessage="1">
          <x14:formula1>
            <xm:f>'kode M A K'!$C$234:$C$237</xm:f>
          </x14:formula1>
          <xm:sqref>B7</xm:sqref>
        </x14:dataValidation>
        <x14:dataValidation type="list" allowBlank="1" showInputMessage="1" showErrorMessage="1">
          <x14:formula1>
            <xm:f>'kode M A K'!$D$234:$D$235</xm:f>
          </x14:formula1>
          <xm:sqref>B10</xm:sqref>
        </x14:dataValidation>
        <x14:dataValidation type="list" allowBlank="1" showInputMessage="1" showErrorMessage="1">
          <x14:formula1>
            <xm:f>'kode M A K'!$F$234:$F$235</xm:f>
          </x14:formula1>
          <xm:sqref>I14:I23</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36"/>
  <sheetViews>
    <sheetView view="pageBreakPreview" zoomScale="70" zoomScaleNormal="100" zoomScaleSheetLayoutView="70" workbookViewId="0">
      <selection activeCell="I15" sqref="I15:I24"/>
    </sheetView>
  </sheetViews>
  <sheetFormatPr defaultColWidth="9.140625" defaultRowHeight="15" x14ac:dyDescent="0.25"/>
  <cols>
    <col min="1" max="1" width="32.42578125" style="3" customWidth="1"/>
    <col min="2" max="2" width="32.85546875" style="3" customWidth="1"/>
    <col min="3" max="3" width="38.28515625" style="3" customWidth="1"/>
    <col min="4" max="4" width="20.42578125" style="3" customWidth="1"/>
    <col min="5" max="5" width="22.85546875" style="3" customWidth="1"/>
    <col min="6" max="6" width="17.7109375" style="3" customWidth="1"/>
    <col min="7" max="7" width="18" style="3" bestFit="1" customWidth="1"/>
    <col min="8" max="8" width="19" style="3" customWidth="1"/>
    <col min="9" max="9" width="25.28515625" style="3" customWidth="1"/>
    <col min="10" max="10" width="21.85546875" style="3" customWidth="1"/>
    <col min="11" max="11" width="21.28515625" style="3" customWidth="1"/>
    <col min="12" max="16384" width="9.140625" style="3"/>
  </cols>
  <sheetData>
    <row r="1" spans="1:11" ht="23.25" x14ac:dyDescent="0.25">
      <c r="A1" s="140" t="s">
        <v>1078</v>
      </c>
      <c r="B1" s="140"/>
      <c r="C1" s="140"/>
      <c r="D1" s="140"/>
      <c r="E1" s="140"/>
      <c r="F1" s="140"/>
      <c r="G1" s="140"/>
      <c r="H1" s="140"/>
      <c r="I1" s="140"/>
      <c r="J1" s="140"/>
      <c r="K1" s="140"/>
    </row>
    <row r="2" spans="1:11" ht="24" customHeight="1" thickBot="1" x14ac:dyDescent="0.3">
      <c r="A2" s="139" t="s">
        <v>1079</v>
      </c>
      <c r="B2" s="139"/>
      <c r="C2" s="139"/>
      <c r="D2" s="139"/>
      <c r="E2" s="139"/>
      <c r="F2" s="139"/>
      <c r="G2" s="139"/>
      <c r="H2" s="139"/>
      <c r="I2" s="139"/>
      <c r="J2" s="139"/>
      <c r="K2" s="139"/>
    </row>
    <row r="3" spans="1:11" ht="16.5" thickTop="1" thickBot="1" x14ac:dyDescent="0.3"/>
    <row r="4" spans="1:11" ht="21" thickBot="1" x14ac:dyDescent="0.3">
      <c r="A4" s="4" t="s">
        <v>1080</v>
      </c>
      <c r="B4" s="4"/>
      <c r="K4" s="5" t="s">
        <v>1153</v>
      </c>
    </row>
    <row r="5" spans="1:11" ht="18" hidden="1" x14ac:dyDescent="0.25">
      <c r="A5" s="4" t="s">
        <v>1116</v>
      </c>
      <c r="B5" s="4"/>
    </row>
    <row r="6" spans="1:11" ht="18" hidden="1" x14ac:dyDescent="0.25">
      <c r="A6" s="4" t="s">
        <v>1082</v>
      </c>
      <c r="B6" s="4"/>
    </row>
    <row r="7" spans="1:11" ht="18" x14ac:dyDescent="0.25">
      <c r="A7" s="4" t="s">
        <v>1083</v>
      </c>
      <c r="B7" s="4" t="s">
        <v>1084</v>
      </c>
    </row>
    <row r="8" spans="1:11" ht="18" x14ac:dyDescent="0.25">
      <c r="A8" s="4" t="s">
        <v>1085</v>
      </c>
      <c r="B8" s="4"/>
    </row>
    <row r="9" spans="1:11" ht="18" x14ac:dyDescent="0.25">
      <c r="A9" s="4" t="s">
        <v>1086</v>
      </c>
      <c r="B9" s="4" t="s">
        <v>1154</v>
      </c>
    </row>
    <row r="10" spans="1:11" ht="18" x14ac:dyDescent="0.25">
      <c r="A10" s="4" t="s">
        <v>1155</v>
      </c>
      <c r="B10" s="4"/>
    </row>
    <row r="11" spans="1:11" ht="18" x14ac:dyDescent="0.25">
      <c r="A11" s="4" t="s">
        <v>1088</v>
      </c>
      <c r="B11" s="4"/>
    </row>
    <row r="12" spans="1:11" ht="18" x14ac:dyDescent="0.25">
      <c r="A12" s="4" t="s">
        <v>3</v>
      </c>
      <c r="B12" s="16"/>
    </row>
    <row r="14" spans="1:11" ht="43.5" customHeight="1" x14ac:dyDescent="0.25">
      <c r="A14" s="21" t="s">
        <v>1089</v>
      </c>
      <c r="B14" s="23" t="s">
        <v>1090</v>
      </c>
      <c r="C14" s="6" t="s">
        <v>1091</v>
      </c>
      <c r="D14" s="6" t="s">
        <v>1092</v>
      </c>
      <c r="E14" s="6" t="s">
        <v>1093</v>
      </c>
      <c r="F14" s="6" t="s">
        <v>1094</v>
      </c>
      <c r="G14" s="6" t="s">
        <v>1095</v>
      </c>
      <c r="H14" s="6" t="s">
        <v>1096</v>
      </c>
      <c r="I14" s="6" t="s">
        <v>889</v>
      </c>
      <c r="J14" s="6" t="s">
        <v>884</v>
      </c>
      <c r="K14" s="12" t="s">
        <v>1097</v>
      </c>
    </row>
    <row r="15" spans="1:11" s="75" customFormat="1" ht="45" x14ac:dyDescent="0.25">
      <c r="A15" s="78"/>
      <c r="B15" s="79"/>
      <c r="C15" s="71"/>
      <c r="D15" s="71"/>
      <c r="E15" s="71"/>
      <c r="F15" s="71"/>
      <c r="G15" s="72">
        <f>D15*F15</f>
        <v>0</v>
      </c>
      <c r="H15" s="71"/>
      <c r="I15" s="71"/>
      <c r="J15" s="74" t="s">
        <v>1098</v>
      </c>
      <c r="K15" s="71"/>
    </row>
    <row r="16" spans="1:11" x14ac:dyDescent="0.25">
      <c r="A16" s="22"/>
      <c r="B16" s="24"/>
      <c r="C16" s="13"/>
      <c r="D16" s="13"/>
      <c r="E16" s="13"/>
      <c r="F16" s="13"/>
      <c r="G16" s="14">
        <f t="shared" ref="G16:G24" si="0">D16*F16</f>
        <v>0</v>
      </c>
      <c r="H16" s="13"/>
      <c r="I16" s="13"/>
      <c r="J16" s="7"/>
      <c r="K16" s="13"/>
    </row>
    <row r="17" spans="1:11" x14ac:dyDescent="0.25">
      <c r="A17" s="22"/>
      <c r="B17" s="24"/>
      <c r="C17" s="13"/>
      <c r="D17" s="13"/>
      <c r="E17" s="13"/>
      <c r="F17" s="13"/>
      <c r="G17" s="14">
        <f t="shared" si="0"/>
        <v>0</v>
      </c>
      <c r="H17" s="13"/>
      <c r="I17" s="13"/>
      <c r="J17" s="13"/>
      <c r="K17" s="13"/>
    </row>
    <row r="18" spans="1:11" x14ac:dyDescent="0.25">
      <c r="A18" s="22"/>
      <c r="B18" s="24"/>
      <c r="C18" s="13"/>
      <c r="D18" s="13"/>
      <c r="E18" s="13"/>
      <c r="F18" s="13"/>
      <c r="G18" s="14">
        <f t="shared" si="0"/>
        <v>0</v>
      </c>
      <c r="H18" s="13"/>
      <c r="I18" s="13"/>
      <c r="J18" s="13"/>
      <c r="K18" s="13"/>
    </row>
    <row r="19" spans="1:11" x14ac:dyDescent="0.25">
      <c r="A19" s="22"/>
      <c r="B19" s="24"/>
      <c r="C19" s="13"/>
      <c r="D19" s="13"/>
      <c r="E19" s="13"/>
      <c r="F19" s="13"/>
      <c r="G19" s="14">
        <f t="shared" si="0"/>
        <v>0</v>
      </c>
      <c r="H19" s="13"/>
      <c r="I19" s="13"/>
      <c r="J19" s="13"/>
      <c r="K19" s="13"/>
    </row>
    <row r="20" spans="1:11" x14ac:dyDescent="0.25">
      <c r="A20" s="22"/>
      <c r="B20" s="24"/>
      <c r="C20" s="13"/>
      <c r="D20" s="13"/>
      <c r="E20" s="13"/>
      <c r="F20" s="13"/>
      <c r="G20" s="14">
        <f t="shared" si="0"/>
        <v>0</v>
      </c>
      <c r="H20" s="13"/>
      <c r="I20" s="13"/>
      <c r="J20" s="13"/>
      <c r="K20" s="13"/>
    </row>
    <row r="21" spans="1:11" x14ac:dyDescent="0.25">
      <c r="A21" s="22"/>
      <c r="B21" s="24"/>
      <c r="C21" s="13"/>
      <c r="D21" s="13"/>
      <c r="E21" s="13"/>
      <c r="F21" s="13"/>
      <c r="G21" s="14">
        <f t="shared" si="0"/>
        <v>0</v>
      </c>
      <c r="H21" s="13"/>
      <c r="I21" s="13"/>
      <c r="J21" s="13"/>
      <c r="K21" s="13"/>
    </row>
    <row r="22" spans="1:11" x14ac:dyDescent="0.25">
      <c r="A22" s="22"/>
      <c r="B22" s="24"/>
      <c r="C22" s="13"/>
      <c r="D22" s="13"/>
      <c r="E22" s="13"/>
      <c r="F22" s="13"/>
      <c r="G22" s="14">
        <f t="shared" si="0"/>
        <v>0</v>
      </c>
      <c r="H22" s="13"/>
      <c r="I22" s="13"/>
      <c r="J22" s="13"/>
      <c r="K22" s="13"/>
    </row>
    <row r="23" spans="1:11" x14ac:dyDescent="0.25">
      <c r="A23" s="22"/>
      <c r="B23" s="24"/>
      <c r="C23" s="13"/>
      <c r="D23" s="13"/>
      <c r="E23" s="13"/>
      <c r="F23" s="13"/>
      <c r="G23" s="14">
        <f t="shared" si="0"/>
        <v>0</v>
      </c>
      <c r="H23" s="13"/>
      <c r="I23" s="13"/>
      <c r="J23" s="13"/>
      <c r="K23" s="13"/>
    </row>
    <row r="24" spans="1:11" x14ac:dyDescent="0.25">
      <c r="A24" s="22"/>
      <c r="B24" s="24"/>
      <c r="C24" s="13"/>
      <c r="D24" s="13"/>
      <c r="E24" s="13"/>
      <c r="F24" s="13"/>
      <c r="G24" s="14">
        <f t="shared" si="0"/>
        <v>0</v>
      </c>
      <c r="H24" s="13"/>
      <c r="I24" s="13"/>
      <c r="J24" s="13"/>
      <c r="K24" s="13"/>
    </row>
    <row r="25" spans="1:11" x14ac:dyDescent="0.25">
      <c r="D25" s="26" t="s">
        <v>1099</v>
      </c>
      <c r="E25" s="27"/>
      <c r="F25" s="28"/>
      <c r="G25" s="8">
        <f>SUM(G15:G24)</f>
        <v>0</v>
      </c>
    </row>
    <row r="29" spans="1:11" x14ac:dyDescent="0.25">
      <c r="A29" s="9" t="s">
        <v>1100</v>
      </c>
      <c r="C29" s="3" t="s">
        <v>1101</v>
      </c>
      <c r="D29" s="9" t="s">
        <v>1102</v>
      </c>
      <c r="G29" s="9" t="s">
        <v>1103</v>
      </c>
      <c r="I29" s="3" t="s">
        <v>1104</v>
      </c>
    </row>
    <row r="30" spans="1:11" x14ac:dyDescent="0.25">
      <c r="A30" s="9"/>
      <c r="C30" s="3" t="s">
        <v>1105</v>
      </c>
      <c r="D30" s="9" t="s">
        <v>1105</v>
      </c>
      <c r="G30" s="9" t="s">
        <v>1105</v>
      </c>
      <c r="H30" s="9"/>
      <c r="I30" s="3" t="s">
        <v>1105</v>
      </c>
    </row>
    <row r="31" spans="1:11" x14ac:dyDescent="0.25">
      <c r="A31" s="9"/>
      <c r="D31" s="9"/>
      <c r="G31" s="9"/>
      <c r="H31" s="9"/>
    </row>
    <row r="32" spans="1:11" x14ac:dyDescent="0.25">
      <c r="A32" s="9"/>
      <c r="D32" s="9"/>
      <c r="G32" s="9"/>
      <c r="H32" s="9"/>
    </row>
    <row r="33" spans="1:9" x14ac:dyDescent="0.25">
      <c r="A33" s="9"/>
      <c r="D33" s="9"/>
      <c r="G33" s="9"/>
      <c r="H33" s="9"/>
    </row>
    <row r="34" spans="1:9" x14ac:dyDescent="0.25">
      <c r="A34" s="9"/>
      <c r="D34" s="9"/>
      <c r="G34" s="9"/>
      <c r="H34" s="9"/>
    </row>
    <row r="35" spans="1:9" x14ac:dyDescent="0.25">
      <c r="A35" s="10" t="s">
        <v>1106</v>
      </c>
      <c r="C35" s="11" t="s">
        <v>1107</v>
      </c>
      <c r="D35" s="10" t="s">
        <v>1108</v>
      </c>
      <c r="G35" s="10" t="s">
        <v>1109</v>
      </c>
      <c r="I35" s="11" t="s">
        <v>1110</v>
      </c>
    </row>
    <row r="36" spans="1:9" x14ac:dyDescent="0.25">
      <c r="A36" s="9" t="s">
        <v>1111</v>
      </c>
      <c r="C36" s="3" t="s">
        <v>1112</v>
      </c>
      <c r="D36" s="9" t="s">
        <v>1113</v>
      </c>
      <c r="G36" s="9" t="s">
        <v>1114</v>
      </c>
      <c r="H36" s="9"/>
      <c r="I36" s="3" t="s">
        <v>1115</v>
      </c>
    </row>
  </sheetData>
  <mergeCells count="2">
    <mergeCell ref="A1:K1"/>
    <mergeCell ref="A2:K2"/>
  </mergeCells>
  <dataValidations count="1">
    <dataValidation type="list" allowBlank="1" showInputMessage="1" showErrorMessage="1" sqref="B6">
      <formula1>#REF!</formula1>
    </dataValidation>
  </dataValidations>
  <pageMargins left="0.35" right="0.27" top="0.75" bottom="0.75" header="0.3" footer="0.3"/>
  <pageSetup paperSize="9" scale="52" orientation="landscape" horizontalDpi="4294967293" verticalDpi="0" r:id="rId1"/>
  <legacyDrawing r:id="rId2"/>
  <extLst>
    <ext xmlns:x14="http://schemas.microsoft.com/office/spreadsheetml/2009/9/main" uri="{CCE6A557-97BC-4b89-ADB6-D9C93CAAB3DF}">
      <x14:dataValidations xmlns:xm="http://schemas.microsoft.com/office/excel/2006/main" count="7">
        <x14:dataValidation type="list" allowBlank="1" showInputMessage="1" showErrorMessage="1">
          <x14:formula1>
            <xm:f>'kode M A K'!$C$277:$C$328</xm:f>
          </x14:formula1>
          <xm:sqref>H15:H24</xm:sqref>
        </x14:dataValidation>
        <x14:dataValidation type="list" allowBlank="1" showInputMessage="1" showErrorMessage="1">
          <x14:formula1>
            <xm:f>'kode M A K'!$C$332:$C$361</xm:f>
          </x14:formula1>
          <xm:sqref>B4</xm:sqref>
        </x14:dataValidation>
        <x14:dataValidation type="list" allowBlank="1" showInputMessage="1" showErrorMessage="1">
          <x14:formula1>
            <xm:f>'kode M A K'!$F$2:$F$228</xm:f>
          </x14:formula1>
          <xm:sqref>B12</xm:sqref>
        </x14:dataValidation>
        <x14:dataValidation type="list" allowBlank="1" showInputMessage="1" showErrorMessage="1">
          <x14:formula1>
            <xm:f>'kode M A K'!$C$240:$C$272</xm:f>
          </x14:formula1>
          <xm:sqref>E15:E24</xm:sqref>
        </x14:dataValidation>
        <x14:dataValidation type="list" allowBlank="1" showInputMessage="1" showErrorMessage="1">
          <x14:formula1>
            <xm:f>'kode M A K'!$C$234:$C$237</xm:f>
          </x14:formula1>
          <xm:sqref>B7</xm:sqref>
        </x14:dataValidation>
        <x14:dataValidation type="list" allowBlank="1" showInputMessage="1" showErrorMessage="1">
          <x14:formula1>
            <xm:f>'kode M A K'!$D$234:$D$235</xm:f>
          </x14:formula1>
          <xm:sqref>B11</xm:sqref>
        </x14:dataValidation>
        <x14:dataValidation type="list" allowBlank="1" showInputMessage="1" showErrorMessage="1">
          <x14:formula1>
            <xm:f>'kode M A K'!$F$234:$F$235</xm:f>
          </x14:formula1>
          <xm:sqref>I15:I24</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36"/>
  <sheetViews>
    <sheetView view="pageBreakPreview" zoomScale="70" zoomScaleNormal="100" zoomScaleSheetLayoutView="70" workbookViewId="0">
      <selection activeCell="I16" sqref="I16"/>
    </sheetView>
  </sheetViews>
  <sheetFormatPr defaultColWidth="9.140625" defaultRowHeight="15" x14ac:dyDescent="0.25"/>
  <cols>
    <col min="1" max="1" width="29.140625" style="3" customWidth="1"/>
    <col min="2" max="2" width="32.85546875" style="3" customWidth="1"/>
    <col min="3" max="3" width="38.28515625" style="3" customWidth="1"/>
    <col min="4" max="4" width="31.140625" style="3" customWidth="1"/>
    <col min="5" max="5" width="22.85546875" style="3" customWidth="1"/>
    <col min="6" max="6" width="16.5703125" style="3" customWidth="1"/>
    <col min="7" max="7" width="18" style="3" bestFit="1" customWidth="1"/>
    <col min="8" max="8" width="19.140625" style="3" customWidth="1"/>
    <col min="9" max="9" width="25.28515625" style="3" customWidth="1"/>
    <col min="10" max="10" width="21.85546875" style="3" customWidth="1"/>
    <col min="11" max="11" width="21.28515625" style="3" customWidth="1"/>
    <col min="12" max="16384" width="9.140625" style="3"/>
  </cols>
  <sheetData>
    <row r="1" spans="1:11" ht="23.25" x14ac:dyDescent="0.25">
      <c r="A1" s="140" t="s">
        <v>1078</v>
      </c>
      <c r="B1" s="140"/>
      <c r="C1" s="140"/>
      <c r="D1" s="140"/>
      <c r="E1" s="140"/>
      <c r="F1" s="140"/>
      <c r="G1" s="140"/>
      <c r="H1" s="140"/>
      <c r="I1" s="140"/>
      <c r="J1" s="140"/>
      <c r="K1" s="140"/>
    </row>
    <row r="2" spans="1:11" ht="24" thickBot="1" x14ac:dyDescent="0.3">
      <c r="A2" s="139" t="s">
        <v>1079</v>
      </c>
      <c r="B2" s="139"/>
      <c r="C2" s="139"/>
      <c r="D2" s="139"/>
      <c r="E2" s="139"/>
      <c r="F2" s="139"/>
      <c r="G2" s="139"/>
      <c r="H2" s="139"/>
      <c r="I2" s="139"/>
      <c r="J2" s="139"/>
      <c r="K2" s="139"/>
    </row>
    <row r="3" spans="1:11" ht="16.5" thickTop="1" thickBot="1" x14ac:dyDescent="0.3"/>
    <row r="4" spans="1:11" ht="21" thickBot="1" x14ac:dyDescent="0.3">
      <c r="A4" s="4" t="s">
        <v>1080</v>
      </c>
      <c r="B4" s="4"/>
      <c r="K4" s="5" t="s">
        <v>1153</v>
      </c>
    </row>
    <row r="5" spans="1:11" ht="18" x14ac:dyDescent="0.25">
      <c r="A5" s="4" t="s">
        <v>1082</v>
      </c>
      <c r="B5" s="4"/>
    </row>
    <row r="6" spans="1:11" ht="18" hidden="1" x14ac:dyDescent="0.25">
      <c r="A6" s="4"/>
      <c r="B6" s="4"/>
    </row>
    <row r="7" spans="1:11" ht="18" x14ac:dyDescent="0.25">
      <c r="A7" s="4" t="s">
        <v>1083</v>
      </c>
      <c r="B7" s="4" t="s">
        <v>1084</v>
      </c>
    </row>
    <row r="8" spans="1:11" ht="18" x14ac:dyDescent="0.25">
      <c r="A8" s="4" t="s">
        <v>1085</v>
      </c>
      <c r="B8" s="4"/>
    </row>
    <row r="9" spans="1:11" ht="18" x14ac:dyDescent="0.25">
      <c r="A9" s="4" t="s">
        <v>1086</v>
      </c>
      <c r="B9" s="4" t="s">
        <v>1154</v>
      </c>
    </row>
    <row r="10" spans="1:11" ht="18" x14ac:dyDescent="0.25">
      <c r="A10" s="4" t="s">
        <v>1155</v>
      </c>
      <c r="B10" s="4"/>
    </row>
    <row r="11" spans="1:11" ht="18" x14ac:dyDescent="0.25">
      <c r="A11" s="4" t="s">
        <v>1088</v>
      </c>
      <c r="B11" s="4"/>
    </row>
    <row r="12" spans="1:11" ht="18" x14ac:dyDescent="0.25">
      <c r="A12" s="4" t="s">
        <v>3</v>
      </c>
      <c r="B12" s="16"/>
    </row>
    <row r="14" spans="1:11" ht="35.25" customHeight="1" x14ac:dyDescent="0.25">
      <c r="A14" s="6" t="s">
        <v>1089</v>
      </c>
      <c r="B14" s="6" t="s">
        <v>1090</v>
      </c>
      <c r="C14" s="6" t="s">
        <v>1091</v>
      </c>
      <c r="D14" s="6" t="s">
        <v>1092</v>
      </c>
      <c r="E14" s="6" t="s">
        <v>1093</v>
      </c>
      <c r="F14" s="6" t="s">
        <v>1094</v>
      </c>
      <c r="G14" s="6" t="s">
        <v>1095</v>
      </c>
      <c r="H14" s="6" t="s">
        <v>1096</v>
      </c>
      <c r="I14" s="6" t="s">
        <v>889</v>
      </c>
      <c r="J14" s="6" t="s">
        <v>884</v>
      </c>
      <c r="K14" s="12" t="s">
        <v>1097</v>
      </c>
    </row>
    <row r="15" spans="1:11" ht="45" x14ac:dyDescent="0.25">
      <c r="A15" s="13"/>
      <c r="B15" s="13"/>
      <c r="C15" s="13"/>
      <c r="D15" s="13"/>
      <c r="E15" s="13"/>
      <c r="F15" s="13"/>
      <c r="G15" s="14">
        <f>D15*F15</f>
        <v>0</v>
      </c>
      <c r="H15" s="13"/>
      <c r="I15" s="13"/>
      <c r="J15" s="7" t="s">
        <v>1098</v>
      </c>
      <c r="K15" s="13"/>
    </row>
    <row r="16" spans="1:11" x14ac:dyDescent="0.25">
      <c r="A16" s="13"/>
      <c r="B16" s="13"/>
      <c r="C16" s="13"/>
      <c r="D16" s="13"/>
      <c r="E16" s="13"/>
      <c r="F16" s="13"/>
      <c r="G16" s="14">
        <f t="shared" ref="G16:G24" si="0">D16*F16</f>
        <v>0</v>
      </c>
      <c r="H16" s="13"/>
      <c r="I16" s="13"/>
      <c r="J16" s="7"/>
      <c r="K16" s="13"/>
    </row>
    <row r="17" spans="1:11" x14ac:dyDescent="0.25">
      <c r="A17" s="13"/>
      <c r="B17" s="13"/>
      <c r="C17" s="13"/>
      <c r="D17" s="13"/>
      <c r="E17" s="13"/>
      <c r="F17" s="13"/>
      <c r="G17" s="14">
        <f t="shared" si="0"/>
        <v>0</v>
      </c>
      <c r="H17" s="13"/>
      <c r="I17" s="13"/>
      <c r="J17" s="13"/>
      <c r="K17" s="13"/>
    </row>
    <row r="18" spans="1:11" x14ac:dyDescent="0.25">
      <c r="A18" s="13"/>
      <c r="B18" s="13"/>
      <c r="C18" s="13"/>
      <c r="D18" s="13"/>
      <c r="E18" s="13"/>
      <c r="F18" s="13"/>
      <c r="G18" s="14">
        <f t="shared" si="0"/>
        <v>0</v>
      </c>
      <c r="H18" s="13"/>
      <c r="I18" s="13"/>
      <c r="J18" s="13"/>
      <c r="K18" s="13"/>
    </row>
    <row r="19" spans="1:11" x14ac:dyDescent="0.25">
      <c r="A19" s="13"/>
      <c r="B19" s="13"/>
      <c r="C19" s="13"/>
      <c r="D19" s="13"/>
      <c r="E19" s="13"/>
      <c r="F19" s="13"/>
      <c r="G19" s="14">
        <f t="shared" si="0"/>
        <v>0</v>
      </c>
      <c r="H19" s="13"/>
      <c r="I19" s="13"/>
      <c r="J19" s="13"/>
      <c r="K19" s="13"/>
    </row>
    <row r="20" spans="1:11" x14ac:dyDescent="0.25">
      <c r="A20" s="13"/>
      <c r="B20" s="13"/>
      <c r="C20" s="13"/>
      <c r="D20" s="13"/>
      <c r="E20" s="13"/>
      <c r="F20" s="13"/>
      <c r="G20" s="14">
        <f t="shared" si="0"/>
        <v>0</v>
      </c>
      <c r="H20" s="13"/>
      <c r="I20" s="13"/>
      <c r="J20" s="13"/>
      <c r="K20" s="13"/>
    </row>
    <row r="21" spans="1:11" x14ac:dyDescent="0.25">
      <c r="A21" s="13"/>
      <c r="B21" s="13"/>
      <c r="C21" s="13"/>
      <c r="D21" s="13"/>
      <c r="E21" s="13"/>
      <c r="F21" s="13"/>
      <c r="G21" s="14">
        <f t="shared" si="0"/>
        <v>0</v>
      </c>
      <c r="H21" s="13"/>
      <c r="I21" s="13"/>
      <c r="J21" s="13"/>
      <c r="K21" s="13"/>
    </row>
    <row r="22" spans="1:11" x14ac:dyDescent="0.25">
      <c r="A22" s="13"/>
      <c r="B22" s="13"/>
      <c r="C22" s="13"/>
      <c r="D22" s="13"/>
      <c r="E22" s="13"/>
      <c r="F22" s="13"/>
      <c r="G22" s="14">
        <f t="shared" si="0"/>
        <v>0</v>
      </c>
      <c r="H22" s="13"/>
      <c r="I22" s="13"/>
      <c r="J22" s="13"/>
      <c r="K22" s="13"/>
    </row>
    <row r="23" spans="1:11" x14ac:dyDescent="0.25">
      <c r="A23" s="13"/>
      <c r="B23" s="13"/>
      <c r="C23" s="13"/>
      <c r="D23" s="13"/>
      <c r="E23" s="13"/>
      <c r="F23" s="13"/>
      <c r="G23" s="14">
        <f t="shared" si="0"/>
        <v>0</v>
      </c>
      <c r="H23" s="13"/>
      <c r="I23" s="13"/>
      <c r="J23" s="13"/>
      <c r="K23" s="13"/>
    </row>
    <row r="24" spans="1:11" x14ac:dyDescent="0.25">
      <c r="A24" s="13"/>
      <c r="B24" s="13"/>
      <c r="C24" s="13"/>
      <c r="D24" s="13"/>
      <c r="E24" s="13"/>
      <c r="F24" s="13"/>
      <c r="G24" s="14">
        <f t="shared" si="0"/>
        <v>0</v>
      </c>
      <c r="H24" s="13"/>
      <c r="I24" s="13"/>
      <c r="J24" s="13"/>
      <c r="K24" s="13"/>
    </row>
    <row r="25" spans="1:11" x14ac:dyDescent="0.25">
      <c r="D25" s="26" t="s">
        <v>1099</v>
      </c>
      <c r="E25" s="27"/>
      <c r="F25" s="28"/>
      <c r="G25" s="8">
        <f>SUM(G15:G24)</f>
        <v>0</v>
      </c>
    </row>
    <row r="29" spans="1:11" x14ac:dyDescent="0.25">
      <c r="A29" s="9" t="s">
        <v>1100</v>
      </c>
      <c r="C29" s="9" t="s">
        <v>1102</v>
      </c>
      <c r="E29" s="9" t="s">
        <v>1103</v>
      </c>
      <c r="H29" s="3" t="s">
        <v>1104</v>
      </c>
    </row>
    <row r="30" spans="1:11" x14ac:dyDescent="0.25">
      <c r="A30" s="9"/>
      <c r="C30" s="9" t="s">
        <v>1105</v>
      </c>
      <c r="E30" s="9" t="s">
        <v>1105</v>
      </c>
      <c r="H30" s="3" t="s">
        <v>1105</v>
      </c>
    </row>
    <row r="31" spans="1:11" x14ac:dyDescent="0.25">
      <c r="A31" s="9"/>
      <c r="C31" s="9"/>
      <c r="E31" s="9"/>
    </row>
    <row r="32" spans="1:11" x14ac:dyDescent="0.25">
      <c r="A32" s="9"/>
      <c r="C32" s="9"/>
      <c r="E32" s="9"/>
    </row>
    <row r="33" spans="1:8" x14ac:dyDescent="0.25">
      <c r="A33" s="9"/>
      <c r="C33" s="9"/>
      <c r="E33" s="9"/>
    </row>
    <row r="34" spans="1:8" x14ac:dyDescent="0.25">
      <c r="A34" s="9"/>
      <c r="C34" s="9"/>
      <c r="E34" s="9"/>
    </row>
    <row r="35" spans="1:8" x14ac:dyDescent="0.25">
      <c r="A35" s="10" t="s">
        <v>1106</v>
      </c>
      <c r="C35" s="10" t="s">
        <v>1151</v>
      </c>
      <c r="E35" s="10" t="s">
        <v>1109</v>
      </c>
      <c r="H35" s="11" t="s">
        <v>1110</v>
      </c>
    </row>
    <row r="36" spans="1:8" x14ac:dyDescent="0.25">
      <c r="A36" s="9" t="s">
        <v>1111</v>
      </c>
      <c r="C36" s="9" t="s">
        <v>1152</v>
      </c>
      <c r="E36" s="9" t="s">
        <v>1114</v>
      </c>
      <c r="H36" s="3" t="s">
        <v>1115</v>
      </c>
    </row>
  </sheetData>
  <customSheetViews>
    <customSheetView guid="{6FD40CE0-1F09-4936-B611-E995D0A8278F}" hiddenRows="1" topLeftCell="A19">
      <selection activeCell="A32" sqref="A32"/>
      <pageMargins left="0" right="0" top="0" bottom="0" header="0" footer="0"/>
      <pageSetup orientation="portrait" horizontalDpi="4294967293" verticalDpi="0" r:id="rId1"/>
    </customSheetView>
  </customSheetViews>
  <mergeCells count="2">
    <mergeCell ref="A1:K1"/>
    <mergeCell ref="A2:K2"/>
  </mergeCells>
  <dataValidations count="1">
    <dataValidation type="list" allowBlank="1" showInputMessage="1" showErrorMessage="1" sqref="B6">
      <formula1>#REF!</formula1>
    </dataValidation>
  </dataValidations>
  <pageMargins left="0.35" right="0.27" top="0.75" bottom="0.75" header="0.3" footer="0.3"/>
  <pageSetup paperSize="9" scale="51" orientation="landscape" horizontalDpi="4294967293" verticalDpi="0" r:id="rId2"/>
  <legacyDrawing r:id="rId3"/>
  <extLst>
    <ext xmlns:x14="http://schemas.microsoft.com/office/spreadsheetml/2009/9/main" uri="{CCE6A557-97BC-4b89-ADB6-D9C93CAAB3DF}">
      <x14:dataValidations xmlns:xm="http://schemas.microsoft.com/office/excel/2006/main" count="7">
        <x14:dataValidation type="list" allowBlank="1" showInputMessage="1" showErrorMessage="1">
          <x14:formula1>
            <xm:f>'kode M A K'!$C$277:$C$328</xm:f>
          </x14:formula1>
          <xm:sqref>H15:H24</xm:sqref>
        </x14:dataValidation>
        <x14:dataValidation type="list" allowBlank="1" showInputMessage="1" showErrorMessage="1">
          <x14:formula1>
            <xm:f>'kode M A K'!$C$332:$C$361</xm:f>
          </x14:formula1>
          <xm:sqref>B4</xm:sqref>
        </x14:dataValidation>
        <x14:dataValidation type="list" allowBlank="1" showInputMessage="1" showErrorMessage="1">
          <x14:formula1>
            <xm:f>'kode M A K'!$F$2:$F$228</xm:f>
          </x14:formula1>
          <xm:sqref>B12</xm:sqref>
        </x14:dataValidation>
        <x14:dataValidation type="list" allowBlank="1" showInputMessage="1" showErrorMessage="1">
          <x14:formula1>
            <xm:f>'kode M A K'!$C$240:$C$272</xm:f>
          </x14:formula1>
          <xm:sqref>E15:E24</xm:sqref>
        </x14:dataValidation>
        <x14:dataValidation type="list" allowBlank="1" showInputMessage="1" showErrorMessage="1">
          <x14:formula1>
            <xm:f>'kode M A K'!$C$234:$C$237</xm:f>
          </x14:formula1>
          <xm:sqref>B7</xm:sqref>
        </x14:dataValidation>
        <x14:dataValidation type="list" allowBlank="1" showInputMessage="1" showErrorMessage="1">
          <x14:formula1>
            <xm:f>'kode M A K'!$D$234:$D$235</xm:f>
          </x14:formula1>
          <xm:sqref>B11</xm:sqref>
        </x14:dataValidation>
        <x14:dataValidation type="list" allowBlank="1" showInputMessage="1" showErrorMessage="1">
          <x14:formula1>
            <xm:f>'kode M A K'!$F$234:$F$235</xm:f>
          </x14:formula1>
          <xm:sqref>I15:I24</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34"/>
  <sheetViews>
    <sheetView zoomScale="70" zoomScaleNormal="70" workbookViewId="0">
      <selection activeCell="D39" sqref="D39"/>
    </sheetView>
  </sheetViews>
  <sheetFormatPr defaultColWidth="9.140625" defaultRowHeight="15" x14ac:dyDescent="0.25"/>
  <cols>
    <col min="1" max="1" width="25" style="3" customWidth="1"/>
    <col min="2" max="2" width="32.85546875" style="3" customWidth="1"/>
    <col min="3" max="3" width="38.28515625" style="3" customWidth="1"/>
    <col min="4" max="4" width="22.5703125" style="3" customWidth="1"/>
    <col min="5" max="5" width="13.5703125" style="3" customWidth="1"/>
    <col min="6" max="6" width="20.7109375" style="3" customWidth="1"/>
    <col min="7" max="7" width="19.28515625" style="3" customWidth="1"/>
    <col min="8" max="8" width="15.42578125" style="3" customWidth="1"/>
    <col min="9" max="9" width="25.28515625" style="3" customWidth="1"/>
    <col min="10" max="10" width="21.85546875" style="3" customWidth="1"/>
    <col min="11" max="11" width="21.28515625" style="3" customWidth="1"/>
    <col min="12" max="16384" width="9.140625" style="3"/>
  </cols>
  <sheetData>
    <row r="1" spans="1:11" ht="23.25" x14ac:dyDescent="0.25">
      <c r="A1" s="140" t="s">
        <v>1078</v>
      </c>
      <c r="B1" s="140"/>
      <c r="C1" s="140"/>
      <c r="D1" s="140"/>
      <c r="E1" s="140"/>
      <c r="F1" s="140"/>
      <c r="G1" s="140"/>
      <c r="H1" s="140"/>
      <c r="I1" s="140"/>
      <c r="J1" s="140"/>
      <c r="K1" s="140"/>
    </row>
    <row r="2" spans="1:11" ht="24" thickBot="1" x14ac:dyDescent="0.3">
      <c r="A2" s="147" t="s">
        <v>1079</v>
      </c>
      <c r="B2" s="147"/>
      <c r="C2" s="147"/>
      <c r="D2" s="147"/>
      <c r="E2" s="147"/>
      <c r="F2" s="147"/>
      <c r="G2" s="147"/>
      <c r="H2" s="147"/>
      <c r="I2" s="147"/>
      <c r="J2" s="147"/>
      <c r="K2" s="147"/>
    </row>
    <row r="3" spans="1:11" ht="16.5" thickTop="1" thickBot="1" x14ac:dyDescent="0.3"/>
    <row r="4" spans="1:11" ht="21" thickBot="1" x14ac:dyDescent="0.3">
      <c r="A4" s="4" t="s">
        <v>1080</v>
      </c>
      <c r="B4" s="4"/>
      <c r="K4" s="5" t="s">
        <v>1156</v>
      </c>
    </row>
    <row r="5" spans="1:11" ht="18" x14ac:dyDescent="0.25">
      <c r="A5" s="4" t="s">
        <v>1082</v>
      </c>
      <c r="B5" s="4"/>
    </row>
    <row r="6" spans="1:11" ht="18" hidden="1" x14ac:dyDescent="0.25">
      <c r="A6" s="4"/>
      <c r="B6" s="4"/>
    </row>
    <row r="7" spans="1:11" ht="18" x14ac:dyDescent="0.25">
      <c r="A7" s="4" t="s">
        <v>1083</v>
      </c>
      <c r="B7" s="4" t="s">
        <v>1084</v>
      </c>
    </row>
    <row r="8" spans="1:11" ht="18" x14ac:dyDescent="0.25">
      <c r="A8" s="4" t="s">
        <v>1085</v>
      </c>
      <c r="B8" s="4"/>
    </row>
    <row r="9" spans="1:11" ht="18" x14ac:dyDescent="0.25">
      <c r="A9" s="4" t="s">
        <v>1086</v>
      </c>
      <c r="B9" s="4" t="s">
        <v>1157</v>
      </c>
    </row>
    <row r="10" spans="1:11" ht="18" x14ac:dyDescent="0.25">
      <c r="A10" s="4" t="s">
        <v>1088</v>
      </c>
      <c r="B10" s="4"/>
    </row>
    <row r="12" spans="1:11" ht="31.5" x14ac:dyDescent="0.25">
      <c r="A12" s="6" t="s">
        <v>1089</v>
      </c>
      <c r="B12" s="6" t="s">
        <v>1090</v>
      </c>
      <c r="C12" s="6" t="s">
        <v>1091</v>
      </c>
      <c r="D12" s="6" t="s">
        <v>1092</v>
      </c>
      <c r="E12" s="6" t="s">
        <v>1093</v>
      </c>
      <c r="F12" s="6" t="s">
        <v>1094</v>
      </c>
      <c r="G12" s="6" t="s">
        <v>1095</v>
      </c>
      <c r="H12" s="6" t="s">
        <v>1096</v>
      </c>
      <c r="I12" s="6" t="s">
        <v>889</v>
      </c>
      <c r="J12" s="6" t="s">
        <v>884</v>
      </c>
      <c r="K12" s="12" t="s">
        <v>1097</v>
      </c>
    </row>
    <row r="13" spans="1:11" ht="45" x14ac:dyDescent="0.25">
      <c r="A13" s="13"/>
      <c r="B13" s="13"/>
      <c r="C13" s="13"/>
      <c r="D13" s="13"/>
      <c r="E13" s="13"/>
      <c r="F13" s="13"/>
      <c r="G13" s="14">
        <f>D13*F13</f>
        <v>0</v>
      </c>
      <c r="H13" s="13"/>
      <c r="I13" s="13"/>
      <c r="J13" s="7" t="s">
        <v>1098</v>
      </c>
      <c r="K13" s="13"/>
    </row>
    <row r="14" spans="1:11" x14ac:dyDescent="0.25">
      <c r="A14" s="13"/>
      <c r="B14" s="13"/>
      <c r="C14" s="13"/>
      <c r="D14" s="13"/>
      <c r="E14" s="13"/>
      <c r="F14" s="13"/>
      <c r="G14" s="14">
        <f t="shared" ref="G14:G22" si="0">D14*F14</f>
        <v>0</v>
      </c>
      <c r="H14" s="13"/>
      <c r="I14" s="13"/>
      <c r="J14" s="7"/>
      <c r="K14" s="13"/>
    </row>
    <row r="15" spans="1:11" x14ac:dyDescent="0.25">
      <c r="A15" s="13"/>
      <c r="B15" s="13"/>
      <c r="C15" s="13"/>
      <c r="D15" s="13"/>
      <c r="E15" s="13"/>
      <c r="F15" s="13"/>
      <c r="G15" s="14">
        <f t="shared" si="0"/>
        <v>0</v>
      </c>
      <c r="H15" s="13"/>
      <c r="I15" s="13"/>
      <c r="J15" s="13"/>
      <c r="K15" s="13"/>
    </row>
    <row r="16" spans="1:11" x14ac:dyDescent="0.25">
      <c r="A16" s="13"/>
      <c r="B16" s="13"/>
      <c r="C16" s="13"/>
      <c r="D16" s="13"/>
      <c r="E16" s="13"/>
      <c r="F16" s="13"/>
      <c r="G16" s="14">
        <f t="shared" si="0"/>
        <v>0</v>
      </c>
      <c r="H16" s="13"/>
      <c r="I16" s="13"/>
      <c r="J16" s="13"/>
      <c r="K16" s="13"/>
    </row>
    <row r="17" spans="1:11" x14ac:dyDescent="0.25">
      <c r="A17" s="13"/>
      <c r="B17" s="13"/>
      <c r="C17" s="13"/>
      <c r="D17" s="13"/>
      <c r="E17" s="13"/>
      <c r="F17" s="13"/>
      <c r="G17" s="14">
        <f t="shared" si="0"/>
        <v>0</v>
      </c>
      <c r="H17" s="13"/>
      <c r="I17" s="13"/>
      <c r="J17" s="13"/>
      <c r="K17" s="13"/>
    </row>
    <row r="18" spans="1:11" x14ac:dyDescent="0.25">
      <c r="A18" s="13"/>
      <c r="B18" s="13"/>
      <c r="C18" s="13"/>
      <c r="D18" s="13"/>
      <c r="E18" s="13"/>
      <c r="F18" s="13"/>
      <c r="G18" s="14">
        <f t="shared" si="0"/>
        <v>0</v>
      </c>
      <c r="H18" s="13"/>
      <c r="I18" s="13"/>
      <c r="J18" s="13"/>
      <c r="K18" s="13"/>
    </row>
    <row r="19" spans="1:11" x14ac:dyDescent="0.25">
      <c r="A19" s="13"/>
      <c r="B19" s="13"/>
      <c r="C19" s="13"/>
      <c r="D19" s="13"/>
      <c r="E19" s="13"/>
      <c r="F19" s="13"/>
      <c r="G19" s="14">
        <f t="shared" si="0"/>
        <v>0</v>
      </c>
      <c r="H19" s="13"/>
      <c r="I19" s="13"/>
      <c r="J19" s="13"/>
      <c r="K19" s="13"/>
    </row>
    <row r="20" spans="1:11" x14ac:dyDescent="0.25">
      <c r="A20" s="13"/>
      <c r="B20" s="13"/>
      <c r="C20" s="13"/>
      <c r="D20" s="13"/>
      <c r="E20" s="13"/>
      <c r="F20" s="13"/>
      <c r="G20" s="14">
        <f t="shared" si="0"/>
        <v>0</v>
      </c>
      <c r="H20" s="13"/>
      <c r="I20" s="13"/>
      <c r="J20" s="13"/>
      <c r="K20" s="13"/>
    </row>
    <row r="21" spans="1:11" x14ac:dyDescent="0.25">
      <c r="A21" s="13"/>
      <c r="B21" s="13"/>
      <c r="C21" s="13"/>
      <c r="D21" s="13"/>
      <c r="E21" s="13"/>
      <c r="F21" s="13"/>
      <c r="G21" s="14">
        <f t="shared" si="0"/>
        <v>0</v>
      </c>
      <c r="H21" s="13"/>
      <c r="I21" s="13"/>
      <c r="J21" s="13"/>
      <c r="K21" s="13"/>
    </row>
    <row r="22" spans="1:11" x14ac:dyDescent="0.25">
      <c r="A22" s="13"/>
      <c r="B22" s="13"/>
      <c r="C22" s="13"/>
      <c r="D22" s="13"/>
      <c r="E22" s="13"/>
      <c r="F22" s="13"/>
      <c r="G22" s="14">
        <f t="shared" si="0"/>
        <v>0</v>
      </c>
      <c r="H22" s="13"/>
      <c r="I22" s="13"/>
      <c r="J22" s="13"/>
      <c r="K22" s="13"/>
    </row>
    <row r="23" spans="1:11" x14ac:dyDescent="0.25">
      <c r="D23" s="26" t="s">
        <v>1099</v>
      </c>
      <c r="E23" s="27"/>
      <c r="F23" s="28"/>
      <c r="G23" s="8">
        <f>SUM(G13:G22)</f>
        <v>0</v>
      </c>
    </row>
    <row r="27" spans="1:11" x14ac:dyDescent="0.25">
      <c r="A27" s="9" t="s">
        <v>1100</v>
      </c>
      <c r="C27" s="9" t="s">
        <v>1102</v>
      </c>
      <c r="E27" s="9" t="s">
        <v>1103</v>
      </c>
      <c r="H27" s="3" t="s">
        <v>1104</v>
      </c>
    </row>
    <row r="28" spans="1:11" x14ac:dyDescent="0.25">
      <c r="A28" s="9"/>
      <c r="C28" s="9" t="s">
        <v>1105</v>
      </c>
      <c r="E28" s="9" t="s">
        <v>1105</v>
      </c>
      <c r="F28" s="9"/>
      <c r="H28" s="3" t="s">
        <v>1105</v>
      </c>
    </row>
    <row r="29" spans="1:11" x14ac:dyDescent="0.25">
      <c r="A29" s="9"/>
      <c r="C29" s="9"/>
      <c r="E29" s="9"/>
      <c r="F29" s="9"/>
    </row>
    <row r="30" spans="1:11" x14ac:dyDescent="0.25">
      <c r="A30" s="9"/>
      <c r="C30" s="9"/>
      <c r="E30" s="9"/>
      <c r="F30" s="9"/>
    </row>
    <row r="31" spans="1:11" x14ac:dyDescent="0.25">
      <c r="A31" s="9"/>
      <c r="C31" s="9"/>
      <c r="E31" s="9"/>
      <c r="F31" s="9"/>
    </row>
    <row r="32" spans="1:11" x14ac:dyDescent="0.25">
      <c r="A32" s="9"/>
      <c r="C32" s="9"/>
      <c r="E32" s="9"/>
      <c r="F32" s="9"/>
    </row>
    <row r="33" spans="1:8" x14ac:dyDescent="0.25">
      <c r="A33" s="10" t="s">
        <v>1106</v>
      </c>
      <c r="C33" s="10" t="s">
        <v>1151</v>
      </c>
      <c r="E33" s="10" t="s">
        <v>1109</v>
      </c>
      <c r="H33" s="11" t="s">
        <v>1110</v>
      </c>
    </row>
    <row r="34" spans="1:8" x14ac:dyDescent="0.25">
      <c r="A34" s="9" t="s">
        <v>1111</v>
      </c>
      <c r="C34" s="9" t="s">
        <v>1152</v>
      </c>
      <c r="E34" s="9" t="s">
        <v>1114</v>
      </c>
      <c r="F34" s="9"/>
      <c r="H34" s="3" t="s">
        <v>1115</v>
      </c>
    </row>
  </sheetData>
  <customSheetViews>
    <customSheetView guid="{6FD40CE0-1F09-4936-B611-E995D0A8278F}" hiddenRows="1" topLeftCell="A22">
      <selection activeCell="B7" sqref="B7"/>
      <pageMargins left="0" right="0" top="0" bottom="0" header="0" footer="0"/>
      <pageSetup orientation="portrait" horizontalDpi="4294967293" verticalDpi="0" r:id="rId1"/>
    </customSheetView>
  </customSheetViews>
  <mergeCells count="2">
    <mergeCell ref="A1:K1"/>
    <mergeCell ref="A2:K2"/>
  </mergeCells>
  <dataValidations count="1">
    <dataValidation type="list" allowBlank="1" showInputMessage="1" showErrorMessage="1" sqref="B6">
      <formula1>#REF!</formula1>
    </dataValidation>
  </dataValidations>
  <pageMargins left="0.7" right="0.7" top="0.75" bottom="0.75" header="0.3" footer="0.3"/>
  <pageSetup paperSize="9" scale="47" orientation="landscape" horizontalDpi="4294967293" verticalDpi="0" r:id="rId2"/>
  <legacyDrawing r:id="rId3"/>
  <extLst>
    <ext xmlns:x14="http://schemas.microsoft.com/office/spreadsheetml/2009/9/main" uri="{CCE6A557-97BC-4b89-ADB6-D9C93CAAB3DF}">
      <x14:dataValidations xmlns:xm="http://schemas.microsoft.com/office/excel/2006/main" count="6">
        <x14:dataValidation type="list" allowBlank="1" showInputMessage="1" showErrorMessage="1">
          <x14:formula1>
            <xm:f>'kode M A K'!$C$277:$C$328</xm:f>
          </x14:formula1>
          <xm:sqref>H13:H22</xm:sqref>
        </x14:dataValidation>
        <x14:dataValidation type="list" allowBlank="1" showInputMessage="1" showErrorMessage="1">
          <x14:formula1>
            <xm:f>'kode M A K'!$C$332:$C$361</xm:f>
          </x14:formula1>
          <xm:sqref>B4</xm:sqref>
        </x14:dataValidation>
        <x14:dataValidation type="list" allowBlank="1" showInputMessage="1" showErrorMessage="1">
          <x14:formula1>
            <xm:f>'kode M A K'!$C$240:$C$272</xm:f>
          </x14:formula1>
          <xm:sqref>E13:E22</xm:sqref>
        </x14:dataValidation>
        <x14:dataValidation type="list" allowBlank="1" showInputMessage="1" showErrorMessage="1">
          <x14:formula1>
            <xm:f>'kode M A K'!$C$234:$C$237</xm:f>
          </x14:formula1>
          <xm:sqref>B7</xm:sqref>
        </x14:dataValidation>
        <x14:dataValidation type="list" allowBlank="1" showInputMessage="1" showErrorMessage="1">
          <x14:formula1>
            <xm:f>'kode M A K'!$F$234:$F$235</xm:f>
          </x14:formula1>
          <xm:sqref>I13:I22</xm:sqref>
        </x14:dataValidation>
        <x14:dataValidation type="list" allowBlank="1" showInputMessage="1" showErrorMessage="1">
          <x14:formula1>
            <xm:f>'kode M A K'!$D$234:$D$235</xm:f>
          </x14:formula1>
          <xm:sqref>B10</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34"/>
  <sheetViews>
    <sheetView zoomScale="70" zoomScaleNormal="70" workbookViewId="0">
      <selection activeCell="J28" sqref="J28"/>
    </sheetView>
  </sheetViews>
  <sheetFormatPr defaultColWidth="9.140625" defaultRowHeight="15" x14ac:dyDescent="0.25"/>
  <cols>
    <col min="1" max="1" width="30.28515625" style="3" bestFit="1" customWidth="1"/>
    <col min="2" max="2" width="32.85546875" style="3" customWidth="1"/>
    <col min="3" max="3" width="38.28515625" style="3" customWidth="1"/>
    <col min="4" max="4" width="18.42578125" style="3" customWidth="1"/>
    <col min="5" max="5" width="19.140625" style="3" customWidth="1"/>
    <col min="6" max="6" width="18.42578125" style="3" customWidth="1"/>
    <col min="7" max="7" width="18" style="3" bestFit="1" customWidth="1"/>
    <col min="8" max="8" width="14.85546875" style="3" customWidth="1"/>
    <col min="9" max="9" width="18.5703125" style="3" customWidth="1"/>
    <col min="10" max="10" width="21.85546875" style="3" customWidth="1"/>
    <col min="11" max="11" width="21.28515625" style="3" customWidth="1"/>
    <col min="12" max="16384" width="9.140625" style="3"/>
  </cols>
  <sheetData>
    <row r="1" spans="1:11" ht="23.25" x14ac:dyDescent="0.25">
      <c r="A1" s="140" t="s">
        <v>1078</v>
      </c>
      <c r="B1" s="140"/>
      <c r="C1" s="140"/>
      <c r="D1" s="140"/>
      <c r="E1" s="140"/>
      <c r="F1" s="140"/>
      <c r="G1" s="140"/>
      <c r="H1" s="140"/>
      <c r="I1" s="140"/>
      <c r="J1" s="140"/>
      <c r="K1" s="140"/>
    </row>
    <row r="2" spans="1:11" ht="24" customHeight="1" x14ac:dyDescent="0.25">
      <c r="A2" s="140" t="s">
        <v>1079</v>
      </c>
      <c r="B2" s="140"/>
      <c r="C2" s="140"/>
      <c r="D2" s="140"/>
      <c r="E2" s="140"/>
      <c r="F2" s="140"/>
      <c r="G2" s="140"/>
      <c r="H2" s="140"/>
      <c r="I2" s="140"/>
      <c r="J2" s="140"/>
      <c r="K2" s="140"/>
    </row>
    <row r="3" spans="1:11" ht="16.5" customHeight="1" x14ac:dyDescent="0.25">
      <c r="A3" s="19"/>
      <c r="B3" s="19"/>
      <c r="C3" s="19"/>
      <c r="D3" s="19"/>
      <c r="E3" s="19"/>
      <c r="F3" s="19"/>
      <c r="G3" s="19"/>
      <c r="H3" s="19"/>
      <c r="I3" s="19"/>
      <c r="J3" s="19"/>
      <c r="K3" s="19"/>
    </row>
    <row r="4" spans="1:11" ht="21" customHeight="1" x14ac:dyDescent="0.25">
      <c r="A4" s="4" t="s">
        <v>1158</v>
      </c>
      <c r="B4" s="4"/>
      <c r="C4" s="19"/>
      <c r="D4" s="19"/>
      <c r="E4" s="19"/>
      <c r="F4" s="19"/>
      <c r="G4" s="19"/>
      <c r="H4" s="19"/>
      <c r="I4" s="19"/>
      <c r="J4" s="19"/>
      <c r="K4" s="20" t="s">
        <v>1159</v>
      </c>
    </row>
    <row r="5" spans="1:11" ht="18" hidden="1" customHeight="1" x14ac:dyDescent="0.25">
      <c r="A5" s="4" t="s">
        <v>1116</v>
      </c>
      <c r="B5" s="4"/>
      <c r="C5" s="19"/>
      <c r="D5" s="19"/>
      <c r="E5" s="19"/>
      <c r="F5" s="19"/>
      <c r="G5" s="19"/>
      <c r="H5" s="19"/>
      <c r="I5" s="19"/>
      <c r="J5" s="19"/>
      <c r="K5" s="19"/>
    </row>
    <row r="6" spans="1:11" ht="18" x14ac:dyDescent="0.25">
      <c r="A6" s="4" t="s">
        <v>1160</v>
      </c>
      <c r="B6" s="4"/>
      <c r="C6" s="19"/>
      <c r="D6" s="19"/>
      <c r="E6" s="19"/>
      <c r="F6" s="19"/>
      <c r="G6" s="19"/>
      <c r="H6" s="19"/>
      <c r="I6" s="19"/>
      <c r="J6" s="19"/>
      <c r="K6" s="19"/>
    </row>
    <row r="7" spans="1:11" ht="18" x14ac:dyDescent="0.25">
      <c r="A7" s="4" t="s">
        <v>1161</v>
      </c>
      <c r="B7" s="19"/>
      <c r="C7" s="19"/>
      <c r="D7" s="19"/>
      <c r="E7" s="19"/>
      <c r="F7" s="19"/>
      <c r="G7" s="19"/>
      <c r="H7" s="19"/>
      <c r="I7" s="19"/>
      <c r="J7" s="19"/>
      <c r="K7" s="19"/>
    </row>
    <row r="8" spans="1:11" ht="18" x14ac:dyDescent="0.25">
      <c r="A8" s="4" t="s">
        <v>1083</v>
      </c>
      <c r="B8" s="4" t="s">
        <v>890</v>
      </c>
      <c r="C8" s="19"/>
      <c r="D8" s="19"/>
      <c r="E8" s="19"/>
      <c r="F8" s="19"/>
      <c r="G8" s="19"/>
      <c r="H8" s="19"/>
      <c r="I8" s="19"/>
      <c r="J8" s="19"/>
      <c r="K8" s="19"/>
    </row>
    <row r="9" spans="1:11" ht="18" x14ac:dyDescent="0.25">
      <c r="A9" s="4" t="s">
        <v>1085</v>
      </c>
      <c r="B9" s="4"/>
      <c r="C9" s="19"/>
      <c r="D9" s="19"/>
      <c r="E9" s="19"/>
      <c r="F9" s="19"/>
      <c r="G9" s="19"/>
      <c r="H9" s="19"/>
      <c r="I9" s="19"/>
      <c r="J9" s="19"/>
      <c r="K9" s="19"/>
    </row>
    <row r="10" spans="1:11" ht="18" x14ac:dyDescent="0.25">
      <c r="A10" s="4" t="s">
        <v>1086</v>
      </c>
      <c r="B10" s="4" t="s">
        <v>1162</v>
      </c>
      <c r="C10" s="19"/>
      <c r="D10" s="19"/>
      <c r="E10" s="19"/>
      <c r="F10" s="19"/>
      <c r="G10" s="19"/>
      <c r="H10" s="19"/>
      <c r="I10" s="19"/>
      <c r="J10" s="19"/>
      <c r="K10" s="19"/>
    </row>
    <row r="11" spans="1:11" ht="18" x14ac:dyDescent="0.25">
      <c r="A11" s="4"/>
      <c r="B11" s="4"/>
    </row>
    <row r="12" spans="1:11" ht="31.5" x14ac:dyDescent="0.25">
      <c r="A12" s="6" t="s">
        <v>1089</v>
      </c>
      <c r="B12" s="6" t="s">
        <v>1090</v>
      </c>
      <c r="C12" s="6" t="s">
        <v>1091</v>
      </c>
      <c r="D12" s="6" t="s">
        <v>1092</v>
      </c>
      <c r="E12" s="6" t="s">
        <v>1093</v>
      </c>
      <c r="F12" s="6" t="s">
        <v>1094</v>
      </c>
      <c r="G12" s="6" t="s">
        <v>1095</v>
      </c>
      <c r="H12" s="6" t="s">
        <v>1096</v>
      </c>
      <c r="I12" s="6" t="s">
        <v>889</v>
      </c>
      <c r="J12" s="6" t="s">
        <v>884</v>
      </c>
      <c r="K12" s="12" t="s">
        <v>1097</v>
      </c>
    </row>
    <row r="13" spans="1:11" ht="45" x14ac:dyDescent="0.25">
      <c r="A13" s="13"/>
      <c r="B13" s="13"/>
      <c r="C13" s="13"/>
      <c r="D13" s="13"/>
      <c r="E13" s="13"/>
      <c r="F13" s="13"/>
      <c r="G13" s="14">
        <f>D13*F13</f>
        <v>0</v>
      </c>
      <c r="H13" s="13"/>
      <c r="I13" s="13"/>
      <c r="J13" s="7" t="s">
        <v>1098</v>
      </c>
      <c r="K13" s="13"/>
    </row>
    <row r="14" spans="1:11" x14ac:dyDescent="0.25">
      <c r="A14" s="13"/>
      <c r="B14" s="13"/>
      <c r="C14" s="13"/>
      <c r="D14" s="13"/>
      <c r="E14" s="13"/>
      <c r="F14" s="13"/>
      <c r="G14" s="14">
        <f t="shared" ref="G14:G22" si="0">D14*F14</f>
        <v>0</v>
      </c>
      <c r="H14" s="13"/>
      <c r="I14" s="13"/>
      <c r="J14" s="7"/>
      <c r="K14" s="13"/>
    </row>
    <row r="15" spans="1:11" x14ac:dyDescent="0.25">
      <c r="A15" s="13"/>
      <c r="B15" s="13"/>
      <c r="C15" s="13"/>
      <c r="D15" s="13"/>
      <c r="E15" s="13"/>
      <c r="F15" s="13"/>
      <c r="G15" s="14">
        <f t="shared" si="0"/>
        <v>0</v>
      </c>
      <c r="H15" s="13"/>
      <c r="I15" s="13"/>
      <c r="J15" s="13"/>
      <c r="K15" s="13"/>
    </row>
    <row r="16" spans="1:11" x14ac:dyDescent="0.25">
      <c r="A16" s="13"/>
      <c r="B16" s="13"/>
      <c r="C16" s="13"/>
      <c r="D16" s="13"/>
      <c r="E16" s="13"/>
      <c r="F16" s="13"/>
      <c r="G16" s="14">
        <f t="shared" si="0"/>
        <v>0</v>
      </c>
      <c r="H16" s="13"/>
      <c r="I16" s="13"/>
      <c r="J16" s="13"/>
      <c r="K16" s="13"/>
    </row>
    <row r="17" spans="1:11" x14ac:dyDescent="0.25">
      <c r="A17" s="13"/>
      <c r="B17" s="13"/>
      <c r="C17" s="13"/>
      <c r="D17" s="13"/>
      <c r="E17" s="13"/>
      <c r="F17" s="13"/>
      <c r="G17" s="14">
        <f t="shared" si="0"/>
        <v>0</v>
      </c>
      <c r="H17" s="13"/>
      <c r="I17" s="13"/>
      <c r="J17" s="13"/>
      <c r="K17" s="13"/>
    </row>
    <row r="18" spans="1:11" x14ac:dyDescent="0.25">
      <c r="A18" s="13"/>
      <c r="B18" s="13"/>
      <c r="C18" s="13"/>
      <c r="D18" s="13"/>
      <c r="E18" s="13"/>
      <c r="F18" s="13"/>
      <c r="G18" s="14">
        <f t="shared" si="0"/>
        <v>0</v>
      </c>
      <c r="H18" s="13"/>
      <c r="I18" s="13"/>
      <c r="J18" s="13"/>
      <c r="K18" s="13"/>
    </row>
    <row r="19" spans="1:11" x14ac:dyDescent="0.25">
      <c r="A19" s="13"/>
      <c r="B19" s="13"/>
      <c r="C19" s="13"/>
      <c r="D19" s="13"/>
      <c r="E19" s="13"/>
      <c r="F19" s="13"/>
      <c r="G19" s="14">
        <f t="shared" si="0"/>
        <v>0</v>
      </c>
      <c r="H19" s="13"/>
      <c r="I19" s="13"/>
      <c r="J19" s="13"/>
      <c r="K19" s="13"/>
    </row>
    <row r="20" spans="1:11" x14ac:dyDescent="0.25">
      <c r="A20" s="13"/>
      <c r="B20" s="13"/>
      <c r="C20" s="13"/>
      <c r="D20" s="13"/>
      <c r="E20" s="13"/>
      <c r="F20" s="13"/>
      <c r="G20" s="14">
        <f t="shared" si="0"/>
        <v>0</v>
      </c>
      <c r="H20" s="13"/>
      <c r="I20" s="13"/>
      <c r="J20" s="13"/>
      <c r="K20" s="13"/>
    </row>
    <row r="21" spans="1:11" x14ac:dyDescent="0.25">
      <c r="A21" s="13"/>
      <c r="B21" s="13"/>
      <c r="C21" s="13"/>
      <c r="D21" s="13"/>
      <c r="E21" s="13"/>
      <c r="F21" s="13"/>
      <c r="G21" s="14">
        <f t="shared" si="0"/>
        <v>0</v>
      </c>
      <c r="H21" s="13"/>
      <c r="I21" s="13"/>
      <c r="J21" s="13"/>
      <c r="K21" s="13"/>
    </row>
    <row r="22" spans="1:11" x14ac:dyDescent="0.25">
      <c r="A22" s="13"/>
      <c r="B22" s="13"/>
      <c r="C22" s="13"/>
      <c r="D22" s="13"/>
      <c r="E22" s="13"/>
      <c r="F22" s="13"/>
      <c r="G22" s="14">
        <f t="shared" si="0"/>
        <v>0</v>
      </c>
      <c r="H22" s="13"/>
      <c r="I22" s="13"/>
      <c r="J22" s="13"/>
      <c r="K22" s="13"/>
    </row>
    <row r="23" spans="1:11" x14ac:dyDescent="0.25">
      <c r="D23" s="64" t="s">
        <v>1099</v>
      </c>
      <c r="E23" s="27"/>
      <c r="F23" s="28"/>
      <c r="G23" s="8">
        <f>SUM(G13:G22)</f>
        <v>0</v>
      </c>
      <c r="I23" s="3" t="s">
        <v>1163</v>
      </c>
    </row>
    <row r="27" spans="1:11" x14ac:dyDescent="0.25">
      <c r="A27" s="9" t="s">
        <v>1100</v>
      </c>
      <c r="C27" s="9" t="s">
        <v>1102</v>
      </c>
      <c r="E27" s="9" t="s">
        <v>1103</v>
      </c>
      <c r="H27" s="3" t="s">
        <v>1104</v>
      </c>
    </row>
    <row r="28" spans="1:11" x14ac:dyDescent="0.25">
      <c r="A28" s="9"/>
      <c r="C28" s="9" t="s">
        <v>1105</v>
      </c>
      <c r="E28" s="9" t="s">
        <v>1105</v>
      </c>
      <c r="H28" s="3" t="s">
        <v>1105</v>
      </c>
    </row>
    <row r="29" spans="1:11" x14ac:dyDescent="0.25">
      <c r="A29" s="9"/>
      <c r="C29" s="9"/>
      <c r="E29" s="9"/>
    </row>
    <row r="30" spans="1:11" x14ac:dyDescent="0.25">
      <c r="A30" s="9"/>
      <c r="C30" s="9"/>
      <c r="E30" s="9"/>
    </row>
    <row r="31" spans="1:11" x14ac:dyDescent="0.25">
      <c r="A31" s="9"/>
      <c r="C31" s="9"/>
      <c r="E31" s="9"/>
    </row>
    <row r="32" spans="1:11" x14ac:dyDescent="0.25">
      <c r="A32" s="9"/>
      <c r="C32" s="9"/>
      <c r="E32" s="9"/>
    </row>
    <row r="33" spans="1:8" x14ac:dyDescent="0.25">
      <c r="A33" s="10" t="s">
        <v>1164</v>
      </c>
      <c r="C33" s="10" t="s">
        <v>1165</v>
      </c>
      <c r="E33" s="10" t="s">
        <v>1109</v>
      </c>
      <c r="H33" s="11" t="s">
        <v>1110</v>
      </c>
    </row>
    <row r="34" spans="1:8" x14ac:dyDescent="0.25">
      <c r="A34" s="9" t="s">
        <v>1166</v>
      </c>
      <c r="C34" s="9" t="s">
        <v>1167</v>
      </c>
      <c r="E34" s="9" t="s">
        <v>1114</v>
      </c>
      <c r="H34" s="3" t="s">
        <v>1115</v>
      </c>
    </row>
  </sheetData>
  <customSheetViews>
    <customSheetView guid="{6FD40CE0-1F09-4936-B611-E995D0A8278F}" hiddenRows="1" topLeftCell="A13">
      <selection activeCell="B32" sqref="B32"/>
      <pageMargins left="0" right="0" top="0" bottom="0" header="0" footer="0"/>
      <pageSetup orientation="portrait" horizontalDpi="4294967293" verticalDpi="0" r:id="rId1"/>
    </customSheetView>
  </customSheetViews>
  <mergeCells count="2">
    <mergeCell ref="A1:K1"/>
    <mergeCell ref="A2:K2"/>
  </mergeCells>
  <pageMargins left="0.7" right="0.7" top="0.75" bottom="0.75" header="0.3" footer="0.3"/>
  <pageSetup paperSize="9" scale="46" orientation="landscape" horizontalDpi="4294967293" verticalDpi="0" r:id="rId2"/>
  <legacyDrawing r:id="rId3"/>
  <extLst>
    <ext xmlns:x14="http://schemas.microsoft.com/office/spreadsheetml/2009/9/main" uri="{CCE6A557-97BC-4b89-ADB6-D9C93CAAB3DF}">
      <x14:dataValidations xmlns:xm="http://schemas.microsoft.com/office/excel/2006/main" count="4">
        <x14:dataValidation type="list" allowBlank="1" showInputMessage="1" showErrorMessage="1">
          <x14:formula1>
            <xm:f>'kode M A K'!$C$277:$C$328</xm:f>
          </x14:formula1>
          <xm:sqref>H13:H22</xm:sqref>
        </x14:dataValidation>
        <x14:dataValidation type="list" allowBlank="1" showInputMessage="1" showErrorMessage="1">
          <x14:formula1>
            <xm:f>'kode M A K'!$C$240:$C$272</xm:f>
          </x14:formula1>
          <xm:sqref>E13:E22</xm:sqref>
        </x14:dataValidation>
        <x14:dataValidation type="list" allowBlank="1" showInputMessage="1" showErrorMessage="1">
          <x14:formula1>
            <xm:f>'kode M A K'!$C$234:$C$237</xm:f>
          </x14:formula1>
          <xm:sqref>B8</xm:sqref>
        </x14:dataValidation>
        <x14:dataValidation type="list" allowBlank="1" showInputMessage="1" showErrorMessage="1">
          <x14:formula1>
            <xm:f>'kode M A K'!$F$234:$F$235</xm:f>
          </x14:formula1>
          <xm:sqref>I13:I22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kode M A K</vt:lpstr>
      <vt:lpstr>FPA-B - Akademik</vt:lpstr>
      <vt:lpstr>06- LPMPI- Akred IF</vt:lpstr>
      <vt:lpstr>copy</vt:lpstr>
      <vt:lpstr>Sheet1</vt:lpstr>
      <vt:lpstr>FPA-I - Akademik</vt:lpstr>
      <vt:lpstr>FPA-I - Non Akademik</vt:lpstr>
      <vt:lpstr>FPA-S - Akademik</vt:lpstr>
      <vt:lpstr>FPA-S - Non Akademik</vt:lpstr>
      <vt:lpstr>FPA-IG</vt:lpstr>
      <vt:lpstr>FPA-HD</vt:lpstr>
      <vt:lpstr>'FPA-I - Akademik'!Print_Area</vt:lpstr>
      <vt:lpstr>'FPA-I - Non Akademik'!Print_Area</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dc:creator>
  <cp:keywords/>
  <dc:description/>
  <cp:lastModifiedBy>Irfan Tri Raharjo, SE</cp:lastModifiedBy>
  <cp:revision/>
  <cp:lastPrinted>2026-03-03T08:52:30Z</cp:lastPrinted>
  <dcterms:created xsi:type="dcterms:W3CDTF">2020-03-23T07:52:15Z</dcterms:created>
  <dcterms:modified xsi:type="dcterms:W3CDTF">2026-03-03T09:13:01Z</dcterms:modified>
  <cp:category/>
  <cp:contentStatus/>
</cp:coreProperties>
</file>
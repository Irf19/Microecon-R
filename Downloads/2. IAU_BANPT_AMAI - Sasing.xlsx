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3700D061-4A8F-4A50-BF2F-D5F688673284}" xr6:coauthVersionLast="47" xr6:coauthVersionMax="47" xr10:uidLastSave="{00000000-0000-0000-0000-000000000000}"/>
  <bookViews>
    <workbookView xWindow="-120" yWindow="-120" windowWidth="20730" windowHeight="11040" xr2:uid="{00000000-000D-0000-FFFF-FFFF00000000}"/>
  </bookViews>
  <sheets>
    <sheet name="Audit Mandiri_IAU BANPT" sheetId="3" r:id="rId1"/>
    <sheet name="Form 3" sheetId="4" r:id="rId2"/>
    <sheet name="Sheet2" sheetId="5"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4" l="1"/>
  <c r="H30" i="4" s="1"/>
  <c r="G29" i="4"/>
  <c r="H29" i="4" s="1"/>
  <c r="G28" i="4"/>
  <c r="G27" i="4"/>
  <c r="H27" i="4" s="1"/>
  <c r="G26" i="4"/>
  <c r="G25" i="4"/>
  <c r="H25" i="4" s="1"/>
  <c r="G24" i="4"/>
  <c r="H24" i="4" s="1"/>
  <c r="G23" i="4"/>
  <c r="H23" i="4" s="1"/>
  <c r="G22" i="4"/>
  <c r="G21" i="4"/>
  <c r="H21" i="4" s="1"/>
  <c r="G16" i="4"/>
  <c r="G15" i="4"/>
  <c r="G14" i="4"/>
  <c r="H14" i="4" s="1"/>
  <c r="G13" i="4"/>
  <c r="G12" i="4"/>
  <c r="E31" i="4"/>
  <c r="E30" i="4"/>
  <c r="E29" i="4"/>
  <c r="E28" i="4"/>
  <c r="E27" i="4"/>
  <c r="E26" i="4"/>
  <c r="E25" i="4"/>
  <c r="E24" i="4"/>
  <c r="E23" i="4"/>
  <c r="E22" i="4"/>
  <c r="E21" i="4"/>
  <c r="E20" i="4"/>
  <c r="E19" i="4"/>
  <c r="E18" i="4"/>
  <c r="E17" i="4"/>
  <c r="E16" i="4"/>
  <c r="E15" i="4"/>
  <c r="E14" i="4"/>
  <c r="E13" i="4"/>
  <c r="E12" i="4"/>
  <c r="B31" i="4"/>
  <c r="B30" i="4"/>
  <c r="B29" i="4"/>
  <c r="B28" i="4"/>
  <c r="B27" i="4"/>
  <c r="B26" i="4"/>
  <c r="B25" i="4"/>
  <c r="B24" i="4"/>
  <c r="B23" i="4"/>
  <c r="B22" i="4"/>
  <c r="B21" i="4"/>
  <c r="B20" i="4"/>
  <c r="B19" i="4"/>
  <c r="B18" i="4"/>
  <c r="B17" i="4"/>
  <c r="B16" i="4"/>
  <c r="B15" i="4"/>
  <c r="B14" i="4"/>
  <c r="B13" i="4"/>
  <c r="B12" i="4"/>
  <c r="F5" i="4"/>
  <c r="H12" i="4"/>
  <c r="H28" i="4"/>
  <c r="H26" i="4"/>
  <c r="H22" i="4"/>
  <c r="H16" i="4"/>
  <c r="H15" i="4"/>
  <c r="H13" i="4"/>
  <c r="H127" i="3" l="1"/>
  <c r="H64" i="3"/>
  <c r="H61" i="3" s="1"/>
  <c r="G20" i="4" s="1"/>
  <c r="H20" i="4" s="1"/>
  <c r="H60" i="3"/>
  <c r="H55" i="3" s="1"/>
  <c r="G19" i="4" s="1"/>
  <c r="H19" i="4" s="1"/>
  <c r="H54" i="3"/>
  <c r="H51" i="3" s="1"/>
  <c r="G18" i="4" s="1"/>
  <c r="H18" i="4" s="1"/>
  <c r="H46" i="3"/>
  <c r="H45" i="3"/>
  <c r="H121" i="3" l="1"/>
  <c r="G31" i="4" s="1"/>
  <c r="H31" i="4" s="1"/>
  <c r="H40" i="3"/>
  <c r="G17" i="4" s="1"/>
  <c r="H17" i="4" s="1"/>
</calcChain>
</file>

<file path=xl/sharedStrings.xml><?xml version="1.0" encoding="utf-8"?>
<sst xmlns="http://schemas.openxmlformats.org/spreadsheetml/2006/main" count="220" uniqueCount="159">
  <si>
    <t>Form 2</t>
  </si>
  <si>
    <t>EVALUASI PROGRAM STUDI SARJANA</t>
  </si>
  <si>
    <t>KONFIRMASI TINDAKAN PERBAIKAN TEMUAN AMAI SIKLUS 3 - 2024</t>
  </si>
  <si>
    <t>Program Studi</t>
  </si>
  <si>
    <t>Sastra Inggris</t>
  </si>
  <si>
    <t>YANG DI ISI HANYA SEL YANG BERWARNA KUNING</t>
  </si>
  <si>
    <t>Bagian 1. VMTS</t>
  </si>
  <si>
    <t>NO.</t>
  </si>
  <si>
    <t>BAGIAN</t>
  </si>
  <si>
    <t>NILAI</t>
  </si>
  <si>
    <t>DESKRIPSI HASIL ASESMEN</t>
  </si>
  <si>
    <t>1.</t>
  </si>
  <si>
    <t>Pemenuhan Unsur VMTS</t>
  </si>
  <si>
    <t>A.</t>
  </si>
  <si>
    <t>Apakah UPPS merumuskan visi keilmuan program studi dan tujuan program studi sesuai kriteria berikut:
1. selaras dengan defernsiasi misi dan visi UPPS maupun Perguruan Tinggi;
2. didukung dengan keberadaan standar luaran, standar proses dan standar masukan tridharma yang relevan dan mengarah pada pencapaian tujuan program studi;
3. dievaluasi pencapaiannya untuk perbaikan berkelanjutan</t>
  </si>
  <si>
    <t>(a) Visi keilmuan dan tujuan program studi yang diakreditasi telah dirumuskan dengan jelas dan selaras dengan deferensiasi misi dan visi UPPS maupun Perguruan Tinggi.
(b) Program studi memiliki rujukan standar luaran, standar proses dan standar masukan yang memberikan arah yang jelas dalam pencapaian visi keilmuan dan tujuan program studi. 
(c) Tujuan program studi yang diakreditasi dievaluasi secara reguler dan hasilnya digunakan untuk perbaikan mutu berkelanjutan</t>
  </si>
  <si>
    <t>Program studi tidak memenuhi satu atau lebih hal-hal berikut:
(a) Visi keilmuan dan tujuan program studi yang diakreditasi telah dirumuskan dengan jelas dan selaras dengan deferensiasi misi dan visi UPPS maupun Perguruan Tinggi.
(b) Program studi memiliki rujukan standar luaran, standar proses dan standar masukan yang memberikan arah yang jelas dalam pencapaian visi keilmuan dan tujuan program studi. 
(c) Tujuan program studi yang diakreditasi dievaluasi secara reguler dan hasil evaluasi digunakan untuk perbaikan mutu berkelanjutan.</t>
  </si>
  <si>
    <t>UPPS memiliki misi, tujuan, dan strategi yang tidak terkait dengan strategi perguruan tinggi dan pengembangan program studi</t>
  </si>
  <si>
    <t>B.</t>
  </si>
  <si>
    <t>Apakah strategi disusun secara partisipatif dan berbasis evaluasi</t>
  </si>
  <si>
    <t>Strategi disusun berdasarkan analisis yang sistematis dengan menggunakan metoda yang relevan, melibatkan pemangku kepentingan internal dan eksternal, dan terdokumentasi serta pada pelaksanaannya dilakukan pemantauan dan evaluasi dan ditindaklanjuti</t>
  </si>
  <si>
    <t xml:space="preserve">Strategi disusun berdasarkan analisis yang sistematis dengan menggunakan metoda yang relevan, melibatkan pemangku kepentingan internal, dan terdokumentasi serta pada pelaksanaannya dilakukan pemantauan dan evaluasi </t>
  </si>
  <si>
    <t>Tidak memiliki mekanisme penyusunan strategi</t>
  </si>
  <si>
    <t>Bagian 2. TATA PAMONG DAN KERJA SAMA</t>
  </si>
  <si>
    <t>DESKRIPSI HASIL EVALUASI DIRI</t>
  </si>
  <si>
    <t>Pemenuhan Unsur Tata Pamong dan Kerja Sama</t>
  </si>
  <si>
    <t>Apakah UPPS/Prodi memiliki kelengkapan struktur organisasi dan keefektifan penyelenggaraan organisasi.</t>
  </si>
  <si>
    <t>UPPS memiliki dokumen formal struktur organisasi dan tata kerja yang dilengkapi tugas dan fungsinya, serta telah berjalan secara konsisten dan menjamin tata pamong yang baik serta berjalan efektif dan efisien</t>
  </si>
  <si>
    <t>UPPS memiliki dokumen formal struktur organisasi dan tata kerja yang dilengkapi tugas dan fungsinya, serta telah berjalan secara konsisten dan menjamin tata pamong yang baik</t>
  </si>
  <si>
    <t>-</t>
  </si>
  <si>
    <t>Apakah mutu, manfaat, kepuasan dan keberlanjutan kerjasama pendidikan, penelitian dan PkM yang relevan dengan program studi yang berjalan telah memenuhi 3 aspek berikut:
1. memberikan manfaat bagi program studi dalam pemenuhan proses pembelajaran, penelitian, PkM
2. memberikan peningkatan kinerja tridharma dan fasilitas pendukung program studi
3. memberikan kepuasan kepada mitra industri dan mitra kerja sama lainnya, serta menjamin keberlanjutan kerja sama dan hasilnya</t>
  </si>
  <si>
    <t xml:space="preserve">UPPS memiliki bukti yang sahih terkait kerjasama yang ada telah memenuhi 3 aspek. </t>
  </si>
  <si>
    <t xml:space="preserve">UPPS memiliki bukti yang sahih terkait kerjasama yang ada telah memenuhi 1-2 aspek. </t>
  </si>
  <si>
    <t>C.</t>
  </si>
  <si>
    <t>Apakah UPPS/Prodi memiliki/menetapkan indikator kinerja tambahan yang menunjukkan daya saing UPPS dan program studi di tingkat inernasional</t>
  </si>
  <si>
    <t xml:space="preserve">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 dan dianalisis untuk perbaikan berkelanjutan. </t>
  </si>
  <si>
    <t>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t>
  </si>
  <si>
    <t>Bagian 3. Prestasi Mahasiswa</t>
  </si>
  <si>
    <t>Pemenuhan Unsur Prestasi Mahasiswa</t>
  </si>
  <si>
    <t>Berapa skor prestasi akademik mahasiswa dalam 3 tahun terakhir</t>
  </si>
  <si>
    <t>NI = Jumlah prestasi akademik internasional</t>
  </si>
  <si>
    <t>NN = Jumlah prestasi akademik nasional</t>
  </si>
  <si>
    <t>NW = Jumlah prestasi akademik wilayah/lokal</t>
  </si>
  <si>
    <t>NM = Jumlah mahasiswa</t>
  </si>
  <si>
    <t>RI</t>
  </si>
  <si>
    <t>RN</t>
  </si>
  <si>
    <t>Bagian 4. SDM</t>
  </si>
  <si>
    <t>Pemenuhan Unsur SDM</t>
  </si>
  <si>
    <t>Berapa persentase dan skor kualifikasi akademik Dosen Tetap Penghitung Rasio (DTPR) (S3 &gt; 25%)</t>
  </si>
  <si>
    <t>NDS3 = Jumlah DPR yang berpendidikan tertinggi doktor</t>
  </si>
  <si>
    <t>NDTPR = Jumlah dosen tetap yang ditugaskan sebagai pengampu mk dengan bidang keahlian sesuai kompetensi inti program studi</t>
  </si>
  <si>
    <t>PDS3 = persentase dosen S3</t>
  </si>
  <si>
    <t>Berapa persentase dan skor DTPR yang memiliki jabatan akademik GB, LK, dan L</t>
  </si>
  <si>
    <t>NGB = Jumlah DTPS yang memiliki JAD GB</t>
  </si>
  <si>
    <t>NLK = Jumlah DTPS yang memiliki JAD LK</t>
  </si>
  <si>
    <t>NL = Jumlah DTPS yang memiliki JAD Lektor</t>
  </si>
  <si>
    <t>NDTPT = Jumlah dosen tetap yang ditugaskan sebagai pengampu mk dengan bidang keahlian sesuai kompetensi inti program studi</t>
  </si>
  <si>
    <t>PGBLKL = persentase GB, LK dan Lektor</t>
  </si>
  <si>
    <t>Berapa persentase dan skor DTPS yang memiliki pengakuan/rekognisi atas kepakaran/prestasi/kinerja;
Visiting lecturer di PT Internasional/A, keynote speaker internasional/nasional, mitra bestari jurnal internasional bereputasi/nasional, staf ahli lembaga internasional/nasional sesuai bidang ilmu, penghargaan atas prestasi dan kinerja tingkat wilayah/nasional/internasional (NRD) 3 tahun terakhir</t>
  </si>
  <si>
    <t>NRD = jumlah Visiting lecturer di PT Internasional/A, keynote speaker internasional/nasional, mitra bestari jurnal internasional bereputasi/nasional, staf ahli lembaga internasional/nasional sesuai bidang ilmu, penghargaan atas prestasi dan kinerja tingkat wilayah/nasional/internasional</t>
  </si>
  <si>
    <t>RRD = persentase dosen yang memiliki pengakuan/rekognisi</t>
  </si>
  <si>
    <t>Bagian 5. KEUANGAN DAN SARANA PRASARANA</t>
  </si>
  <si>
    <t>Pemenuhan Unsur Keuangan dan Sarpras</t>
  </si>
  <si>
    <t>Apakah UPPS/Prodi memiliki kecukupan dana untuk menjamin pencapaian capaian pembelajaran.</t>
  </si>
  <si>
    <t>UPPS/Prodi memiliki dana dapat menjamin keberlangsungan operasional tridharma, pengembangan 3 tahun terakhir serta memiliki kecukupan dana untuk rencana pengembangan 3 tahun ke depan yang didukung oleh sumber pendanaan yang realistis</t>
  </si>
  <si>
    <t>UPPS/Prodi memiliki dana dapat menjamin keberlangsungan operasional tridharma, pengembangan 3 tahun terakhir.</t>
  </si>
  <si>
    <t>Apakah UPPS/Prodi memiliki kecukupan, aksesibilitas dan mutu sarana dan prasarana untuk menjamin pencapaian capaian pembelajaran dan meningkatkan suasana akademik</t>
  </si>
  <si>
    <t>UPPS menyediakan sarana dan prasarana yang mutakhir serta aksesibiltas yang cukup untuk menjamin pencapaian capaian pembelajaran dan meningkatkan suasana akademik.</t>
  </si>
  <si>
    <t xml:space="preserve">UPPS menyediakan sarana dan prasarana serta aksesibiltas yang cukup untuk menjamin pencapaian capaian pembelajaran dan meningkatkan suasana akademik. </t>
  </si>
  <si>
    <t>Bagian 6. PENDIDIKAN</t>
  </si>
  <si>
    <t>Pemenuhan Unsur Pendidikan</t>
  </si>
  <si>
    <t xml:space="preserve">Pengukuran terhadap CPL </t>
  </si>
  <si>
    <t>PS telah menerapkan prinsip PPEPP dalam pengukuran CPL, disertai dengan bukti data dan laporan yang sangat lengkap</t>
  </si>
  <si>
    <t>PS telah melakukan pengukuran CPL disertai dengan bukti data dan laporan yang lengkap</t>
  </si>
  <si>
    <t>PS belum melakukan pengukuran CPL</t>
  </si>
  <si>
    <t>Program Studi memiliki lulusan yang memenuhi CPL</t>
  </si>
  <si>
    <t>≥ 90% lulusan memenuhi seluruh capaian pembelajaran lulusan (CPL) sesuai standar prodi. Evaluasi CPL dilakukan secara sistematis, terdokumentasi, dan ditindaklanjuti untuk peningkatan mutu.</t>
  </si>
  <si>
    <t>70%–89% lulusan memenuhi CPL. Evaluasi dilakukan namun belum seluruhnya sistematis atau terdokumentasi secara lengkap. Tindak lanjut masih terbatas.</t>
  </si>
  <si>
    <t>&lt; 70% lulusan yang memenuhi CPL atau tidak ada data evaluasi CPL. Belum ada mekanisme jelas untuk penilaian dan perbaikan berbasis capaian pembelajaran.</t>
  </si>
  <si>
    <t>Bagian 7. PENELITIAN DAN PENGABDIAN</t>
  </si>
  <si>
    <t>Pemenuhan Unsur Penelitian dan Pengabdian</t>
  </si>
  <si>
    <t>Apakah terdapat peningkatan kegiatan penelitian dalam 3 tahun terakhir</t>
  </si>
  <si>
    <t>Terjadi peningkatan kegiatan penelitian dengan menggunakan sumber pembiayaan luar negeri dalam 3 tahun terakhir</t>
  </si>
  <si>
    <t>Terjadi peningkatan kegiatan penelitian dengan menggunakan sumber pembiayaan dalam negeri dalam 3 tahun terakhir</t>
  </si>
  <si>
    <t>Apakah terdapat peningkatan kegiatan penelitian dalam 3 tahun terakhir melibatkan mahasiswa</t>
  </si>
  <si>
    <t>Terjadi peningkatan kegiatan penelitian yang melibatkan mahasiswa dalam 3 tahun terakhir dalam lingkup internasional/nasional</t>
  </si>
  <si>
    <t>Terjadi peningkatan kegiatan penelitian yang melibatkan mahasiswa dalam 3 tahun terakhir dalam lingkup lokal</t>
  </si>
  <si>
    <t>Apakah terdapat peningkatan kegiatan PkM dalam 3 tahun terakhir</t>
  </si>
  <si>
    <t>Terjadi peningkatan kegiatan PkM yang berdampak dan berkelanjutan dalam lingkup nasional dalam 3 tahun terakhir</t>
  </si>
  <si>
    <t>Terjadi peningkatan kegiatan PkM yang berdampak dan berkelanjutan dalam lingkup lokal dalam 3 tahun terakhir</t>
  </si>
  <si>
    <t>Apakah terdapat peningkatan kegiatan PkM dalam 3 tahun terakhir melibatkan mahasiswa</t>
  </si>
  <si>
    <t>Terjadi peningkatan kegiatan PkM yang melibatkan mahasiswa dalam 3 tahun terakhir yang berdampak dan berkelanjutan dalam lingkup nasional</t>
  </si>
  <si>
    <t>Terjadi peningkatan kegiatan PkM yang melibatkan mahasiswa dalam 3 tahun terakhir dalam lingkup lokal</t>
  </si>
  <si>
    <t>Bagian 8. LUARAN DAN CAPAIAN</t>
  </si>
  <si>
    <t>Pemenuhan Unsur Luaran dan Capaian</t>
  </si>
  <si>
    <t>Berapakah rata-rata IPK lulusan dalam 3 tahun terakhir</t>
  </si>
  <si>
    <t>RIPK 3.25</t>
  </si>
  <si>
    <t>2.00 ≤ RIPK &lt; 3.25</t>
  </si>
  <si>
    <t>Berapakah rata-rata waktu tunggu lulusan dalam 3 tahun terakhir</t>
  </si>
  <si>
    <t>WT &lt; 6 bulan</t>
  </si>
  <si>
    <t xml:space="preserve">6 &lt; WT &lt; 18 bulan </t>
  </si>
  <si>
    <t>Berapakah persentase dan skor luaran penelitian dan PKM yang dihasilkan DTPS dalam 3 tahun terakhir</t>
  </si>
  <si>
    <t>NB = Jumlah luaran penelitian/PkM yang mendapat pengakuan HKI (Hak Cipta, Desain Produk Industri, Desain Tata Letak Sirkuit Terpadu, dll)</t>
  </si>
  <si>
    <t>NC = Jumlah luaran penelitian/PkM dalam bentuk Teknologi Tepat Guna, Produk terstandarisasi/sertifikasi, Karya Seni, Rekayasa Sosial</t>
  </si>
  <si>
    <t>ND = Jumlah luaran penelitian/PkM yang diterbitkan dalam bentuk buku ber-ISBN, book chapter</t>
  </si>
  <si>
    <t>NDPTS = Jumlah dosen tetap yang ditugaskan sebagai pengampu mk dengan bidang keahlian sesuai kompetensi inti program studi</t>
  </si>
  <si>
    <t>RLP = Nilai Rasio</t>
  </si>
  <si>
    <t>Form 3</t>
  </si>
  <si>
    <t xml:space="preserve">Berita Acara 
Audit Mutu Internal </t>
  </si>
  <si>
    <t>Periode Audit:</t>
  </si>
  <si>
    <t>TA 2025/2026</t>
  </si>
  <si>
    <t>Teraudit:</t>
  </si>
  <si>
    <t xml:space="preserve">Program Studi  </t>
  </si>
  <si>
    <t>Tanggal Audit</t>
  </si>
  <si>
    <t>Ruang Lingkup:</t>
  </si>
  <si>
    <r>
      <t>Akademik/</t>
    </r>
    <r>
      <rPr>
        <strike/>
        <sz val="12"/>
        <color theme="1"/>
        <rFont val="Times New Roman"/>
        <family val="1"/>
      </rPr>
      <t>Non Akademik</t>
    </r>
  </si>
  <si>
    <t>Hasil Konfirmasi Auditee</t>
  </si>
  <si>
    <t>Penyelesaian Permintaan Tindakan Koreksi (PTK) AMI siklus sebelumnya</t>
  </si>
  <si>
    <t>No</t>
  </si>
  <si>
    <t>Pernyataan Standar</t>
  </si>
  <si>
    <t>Konfirmasi Auditee</t>
  </si>
  <si>
    <t>Skor</t>
  </si>
  <si>
    <t>Status Akhir</t>
  </si>
  <si>
    <t>1</t>
  </si>
  <si>
    <t>2</t>
  </si>
  <si>
    <t>3</t>
  </si>
  <si>
    <t>4</t>
  </si>
  <si>
    <t>5</t>
  </si>
  <si>
    <t>6</t>
  </si>
  <si>
    <t>7</t>
  </si>
  <si>
    <t>8</t>
  </si>
  <si>
    <t>9</t>
  </si>
  <si>
    <t>10</t>
  </si>
  <si>
    <t>11</t>
  </si>
  <si>
    <t>12</t>
  </si>
  <si>
    <t>13</t>
  </si>
  <si>
    <t>14</t>
  </si>
  <si>
    <t>15</t>
  </si>
  <si>
    <t>16</t>
  </si>
  <si>
    <t>17</t>
  </si>
  <si>
    <t>18</t>
  </si>
  <si>
    <t>19</t>
  </si>
  <si>
    <t>20</t>
  </si>
  <si>
    <t>Siklus AMI</t>
  </si>
  <si>
    <t>Tgl Berlaku</t>
  </si>
  <si>
    <t>Status Audit</t>
  </si>
  <si>
    <t xml:space="preserve">Konfirmasi tindak lanjut Prodi atas hasil AMI siklus 4 sesuai format template yang disediakan beserta bukti pendukung </t>
  </si>
  <si>
    <t>Keterangan</t>
  </si>
  <si>
    <t>Permintaan Tindakan Koreksi 
(PTK) 1</t>
  </si>
  <si>
    <t>Status akhir</t>
  </si>
  <si>
    <t>Permintaan Tindakan Koreksi 
(PTK) 2</t>
  </si>
  <si>
    <t>Permintaan Tindakan Koreksi 
(PTK) 3</t>
  </si>
  <si>
    <t>Berdasarkan hasil audit yang telah dilakukan, auditee sepakat melakukan tindak lanjut dan perbaikan terhadap temuan hasil audit internal</t>
  </si>
  <si>
    <t>Teraudit</t>
  </si>
  <si>
    <t>Nama</t>
  </si>
  <si>
    <t>Auditor 1</t>
  </si>
  <si>
    <t>Ketua Auditor</t>
  </si>
  <si>
    <t>DKV</t>
  </si>
  <si>
    <t>NA = Jumlah luaran penelitian/PkM yang mendapat pengajuan HKI (paten, paten sederhana)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</si>
</sst>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1"/>
      <color rgb="FF000000"/>
      <name val="Calibri"/>
      <family val="2"/>
    </font>
    <font>
      <b/>
      <sz val="20"/>
      <color rgb="FF000000"/>
      <name val="Calibri"/>
      <family val="2"/>
    </font>
    <font>
      <b/>
      <sz val="11"/>
      <color rgb="FF000000"/>
      <name val="Calibri"/>
      <family val="2"/>
    </font>
    <font>
      <sz val="12"/>
      <color rgb="FF000000"/>
      <name val="Calibri"/>
      <family val="2"/>
    </font>
    <font>
      <b/>
      <sz val="14"/>
      <color rgb="FF000000"/>
      <name val="Calibri"/>
      <family val="2"/>
    </font>
    <font>
      <b/>
      <sz val="12"/>
      <color rgb="FF000000"/>
      <name val="Calibri"/>
      <family val="2"/>
    </font>
    <font>
      <b/>
      <sz val="16"/>
      <color rgb="FFFFFFFF"/>
      <name val="Calibri"/>
      <family val="2"/>
    </font>
    <font>
      <sz val="14"/>
      <color rgb="FFFF0000"/>
      <name val="Calibri"/>
      <family val="2"/>
    </font>
    <font>
      <b/>
      <sz val="10"/>
      <color rgb="FF000000"/>
      <name val="Calibri"/>
      <family val="2"/>
    </font>
    <font>
      <b/>
      <sz val="11"/>
      <color theme="1"/>
      <name val="Calibri"/>
      <family val="2"/>
      <scheme val="minor"/>
    </font>
    <font>
      <sz val="12"/>
      <color theme="1"/>
      <name val="Times New Roman"/>
      <family val="1"/>
    </font>
    <font>
      <b/>
      <sz val="18"/>
      <color theme="1"/>
      <name val="Times New Roman"/>
      <family val="1"/>
    </font>
    <font>
      <b/>
      <sz val="12"/>
      <color theme="1"/>
      <name val="Times New Roman"/>
      <family val="1"/>
    </font>
    <font>
      <b/>
      <sz val="12"/>
      <color rgb="FF8DB3E2"/>
      <name val="Times New Roman"/>
      <family val="1"/>
    </font>
    <font>
      <strike/>
      <sz val="12"/>
      <color theme="1"/>
      <name val="Times New Roman"/>
      <family val="1"/>
    </font>
    <font>
      <sz val="11"/>
      <color theme="1"/>
      <name val="Times New Roman"/>
      <family val="1"/>
    </font>
    <font>
      <b/>
      <sz val="11"/>
      <color theme="1"/>
      <name val="Times New Roman"/>
      <family val="1"/>
    </font>
    <font>
      <i/>
      <sz val="11"/>
      <color theme="1"/>
      <name val="Calibri"/>
      <family val="2"/>
      <scheme val="minor"/>
    </font>
    <font>
      <b/>
      <sz val="12"/>
      <color rgb="FF000000"/>
      <name val="Times New Roman"/>
      <family val="1"/>
    </font>
    <font>
      <b/>
      <sz val="14"/>
      <color theme="0"/>
      <name val="Calibri"/>
      <family val="2"/>
    </font>
    <font>
      <u/>
      <sz val="11"/>
      <color theme="10"/>
      <name val="Calibri"/>
      <family val="2"/>
      <scheme val="minor"/>
    </font>
    <font>
      <sz val="14"/>
      <color rgb="FF000000"/>
      <name val="Calibri"/>
      <family val="2"/>
    </font>
    <font>
      <u/>
      <sz val="14"/>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D8D8D8"/>
        <bgColor rgb="FFFFFFFF"/>
      </patternFill>
    </fill>
    <fill>
      <patternFill patternType="solid">
        <fgColor rgb="FF92D050"/>
        <bgColor rgb="FFFFFFFF"/>
      </patternFill>
    </fill>
    <fill>
      <patternFill patternType="solid">
        <fgColor rgb="FFFBD4B4"/>
        <bgColor rgb="FFFFFFFF"/>
      </patternFill>
    </fill>
    <fill>
      <patternFill patternType="solid">
        <fgColor rgb="FFFFFF00"/>
        <bgColor rgb="FFFFFFFF"/>
      </patternFill>
    </fill>
    <fill>
      <patternFill patternType="solid">
        <fgColor theme="4"/>
        <bgColor indexed="64"/>
      </patternFill>
    </fill>
    <fill>
      <patternFill patternType="solid">
        <fgColor theme="0" tint="-0.1499984740745262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indexed="64"/>
      </left>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s>
  <cellStyleXfs count="4">
    <xf numFmtId="0" fontId="0" fillId="0" borderId="0"/>
    <xf numFmtId="9" fontId="1" fillId="0" borderId="0" applyFont="0" applyFill="0" applyBorder="0" applyAlignment="0" applyProtection="0"/>
    <xf numFmtId="0" fontId="2" fillId="0" borderId="0"/>
    <xf numFmtId="0" fontId="22" fillId="0" borderId="0" applyNumberFormat="0" applyFill="0" applyBorder="0" applyAlignment="0" applyProtection="0"/>
  </cellStyleXfs>
  <cellXfs count="153">
    <xf numFmtId="0" fontId="0" fillId="0" borderId="0" xfId="0"/>
    <xf numFmtId="0" fontId="2" fillId="0" borderId="0" xfId="2" applyAlignment="1">
      <alignment wrapText="1"/>
    </xf>
    <xf numFmtId="0" fontId="2" fillId="0" borderId="0" xfId="2"/>
    <xf numFmtId="0" fontId="5" fillId="0" borderId="0" xfId="2" applyFont="1" applyAlignment="1">
      <alignment wrapText="1"/>
    </xf>
    <xf numFmtId="1" fontId="6" fillId="0" borderId="10" xfId="2" applyNumberFormat="1" applyFont="1" applyBorder="1" applyAlignment="1">
      <alignment horizontal="center" vertical="center" wrapText="1"/>
    </xf>
    <xf numFmtId="0" fontId="6" fillId="0" borderId="10" xfId="2" applyFont="1" applyBorder="1" applyAlignment="1">
      <alignment horizontal="center" vertical="center" wrapText="1"/>
    </xf>
    <xf numFmtId="1" fontId="6" fillId="0" borderId="13" xfId="2" quotePrefix="1" applyNumberFormat="1" applyFont="1" applyBorder="1" applyAlignment="1">
      <alignment horizontal="center" vertical="center" wrapText="1"/>
    </xf>
    <xf numFmtId="0" fontId="6" fillId="0" borderId="7" xfId="2" applyFont="1" applyBorder="1" applyAlignment="1" applyProtection="1">
      <alignment horizontal="center" vertical="center" wrapText="1"/>
      <protection locked="0"/>
    </xf>
    <xf numFmtId="0" fontId="5" fillId="0" borderId="13" xfId="2" applyFont="1" applyBorder="1" applyAlignment="1" applyProtection="1">
      <alignment vertical="top" wrapText="1"/>
      <protection locked="0"/>
    </xf>
    <xf numFmtId="0" fontId="9" fillId="0" borderId="0" xfId="2" applyFont="1" applyAlignment="1">
      <alignment horizontal="center" vertical="center" wrapText="1"/>
    </xf>
    <xf numFmtId="0" fontId="6" fillId="6" borderId="15" xfId="2" applyFont="1" applyFill="1" applyBorder="1" applyAlignment="1" applyProtection="1">
      <alignment horizontal="center" vertical="center" wrapText="1"/>
      <protection locked="0"/>
    </xf>
    <xf numFmtId="0" fontId="10" fillId="0" borderId="16" xfId="2" applyFont="1" applyBorder="1" applyAlignment="1">
      <alignment vertical="top" wrapText="1"/>
    </xf>
    <xf numFmtId="0" fontId="10" fillId="0" borderId="17" xfId="2" applyFont="1" applyBorder="1" applyAlignment="1">
      <alignment vertical="top" wrapText="1"/>
    </xf>
    <xf numFmtId="0" fontId="6" fillId="6" borderId="7" xfId="2" applyFont="1" applyFill="1" applyBorder="1" applyAlignment="1" applyProtection="1">
      <alignment horizontal="center" vertical="center" wrapText="1"/>
      <protection locked="0"/>
    </xf>
    <xf numFmtId="0" fontId="10" fillId="0" borderId="18" xfId="2" applyFont="1" applyBorder="1" applyAlignment="1">
      <alignment vertical="top" wrapText="1"/>
    </xf>
    <xf numFmtId="0" fontId="10" fillId="0" borderId="19" xfId="2" applyFont="1" applyBorder="1" applyAlignment="1">
      <alignment vertical="top" wrapText="1"/>
    </xf>
    <xf numFmtId="0" fontId="4" fillId="0" borderId="0" xfId="2" applyFont="1" applyAlignment="1">
      <alignment wrapText="1"/>
    </xf>
    <xf numFmtId="0" fontId="10" fillId="0" borderId="0" xfId="2" applyFont="1" applyAlignment="1">
      <alignment vertical="top" wrapText="1"/>
    </xf>
    <xf numFmtId="0" fontId="10" fillId="0" borderId="2" xfId="2" applyFont="1" applyBorder="1" applyAlignment="1">
      <alignment vertical="top" wrapText="1"/>
    </xf>
    <xf numFmtId="0" fontId="6" fillId="0" borderId="15" xfId="2" applyFont="1" applyBorder="1" applyAlignment="1" applyProtection="1">
      <alignment horizontal="center" vertical="center" wrapText="1"/>
      <protection locked="0"/>
    </xf>
    <xf numFmtId="0" fontId="6" fillId="0" borderId="26" xfId="2" applyFont="1" applyBorder="1" applyAlignment="1" applyProtection="1">
      <alignment horizontal="center" vertical="center" wrapText="1"/>
      <protection locked="0"/>
    </xf>
    <xf numFmtId="0" fontId="10" fillId="2" borderId="1" xfId="2" applyFont="1" applyFill="1" applyBorder="1" applyAlignment="1">
      <alignment vertical="top" wrapText="1"/>
    </xf>
    <xf numFmtId="9" fontId="10" fillId="2" borderId="1" xfId="1" applyFont="1" applyFill="1" applyBorder="1" applyAlignment="1">
      <alignment vertical="top" wrapText="1"/>
    </xf>
    <xf numFmtId="2" fontId="6" fillId="0" borderId="15" xfId="2" applyNumberFormat="1" applyFont="1" applyBorder="1" applyAlignment="1" applyProtection="1">
      <alignment horizontal="center" vertical="center" wrapText="1"/>
      <protection locked="0"/>
    </xf>
    <xf numFmtId="1" fontId="10" fillId="2" borderId="1" xfId="1" applyNumberFormat="1" applyFont="1" applyFill="1" applyBorder="1" applyAlignment="1">
      <alignment vertical="top" wrapText="1"/>
    </xf>
    <xf numFmtId="0" fontId="11" fillId="0" borderId="27" xfId="0" applyFont="1" applyBorder="1"/>
    <xf numFmtId="0" fontId="0" fillId="0" borderId="29" xfId="0" applyBorder="1"/>
    <xf numFmtId="0" fontId="14" fillId="0" borderId="31" xfId="0" applyFont="1" applyBorder="1" applyAlignment="1">
      <alignment horizontal="center" vertical="center" wrapText="1"/>
    </xf>
    <xf numFmtId="0" fontId="12" fillId="0" borderId="1" xfId="0" applyFont="1" applyBorder="1" applyAlignment="1">
      <alignment vertical="center" wrapText="1"/>
    </xf>
    <xf numFmtId="0" fontId="0" fillId="0" borderId="0" xfId="0" applyAlignment="1">
      <alignment horizontal="center"/>
    </xf>
    <xf numFmtId="0" fontId="18" fillId="0" borderId="3" xfId="0" quotePrefix="1" applyFont="1" applyBorder="1" applyAlignment="1">
      <alignment horizontal="center" vertical="center"/>
    </xf>
    <xf numFmtId="0" fontId="18" fillId="0" borderId="3" xfId="0" applyFont="1" applyBorder="1" applyAlignment="1">
      <alignment horizontal="center" vertical="center"/>
    </xf>
    <xf numFmtId="0" fontId="11" fillId="0" borderId="28" xfId="0" applyFont="1" applyBorder="1" applyAlignment="1">
      <alignment horizontal="centerContinuous"/>
    </xf>
    <xf numFmtId="0" fontId="18" fillId="0" borderId="31" xfId="0" applyFont="1" applyBorder="1" applyAlignment="1">
      <alignment horizontal="centerContinuous"/>
    </xf>
    <xf numFmtId="0" fontId="18" fillId="0" borderId="28" xfId="0" applyFont="1" applyBorder="1" applyAlignment="1">
      <alignment horizontal="centerContinuous"/>
    </xf>
    <xf numFmtId="0" fontId="18" fillId="0" borderId="41" xfId="0" applyFont="1" applyBorder="1" applyAlignment="1">
      <alignment horizontal="centerContinuous"/>
    </xf>
    <xf numFmtId="0" fontId="18" fillId="0" borderId="42" xfId="0" applyFont="1" applyBorder="1" applyAlignment="1">
      <alignment horizontal="centerContinuous"/>
    </xf>
    <xf numFmtId="0" fontId="18" fillId="0" borderId="43" xfId="0" applyFont="1" applyBorder="1" applyAlignment="1">
      <alignment horizontal="centerContinuous"/>
    </xf>
    <xf numFmtId="0" fontId="0" fillId="0" borderId="0" xfId="0" applyAlignment="1">
      <alignment vertical="center"/>
    </xf>
    <xf numFmtId="0" fontId="0" fillId="0" borderId="3" xfId="0" applyBorder="1"/>
    <xf numFmtId="0" fontId="0" fillId="0" borderId="5" xfId="0" applyBorder="1"/>
    <xf numFmtId="0" fontId="20" fillId="0" borderId="0" xfId="2" applyFont="1" applyAlignment="1">
      <alignment horizontal="right" wrapText="1"/>
    </xf>
    <xf numFmtId="0" fontId="6" fillId="0" borderId="0" xfId="2" applyFont="1" applyAlignment="1">
      <alignment horizontal="centerContinuous" wrapText="1"/>
    </xf>
    <xf numFmtId="2" fontId="18" fillId="0" borderId="3" xfId="0" applyNumberFormat="1" applyFont="1" applyBorder="1" applyAlignment="1">
      <alignment horizontal="center" vertical="center"/>
    </xf>
    <xf numFmtId="0" fontId="22" fillId="0" borderId="0" xfId="3" applyAlignment="1">
      <alignment wrapText="1"/>
    </xf>
    <xf numFmtId="0" fontId="2" fillId="2" borderId="0" xfId="2" applyFill="1" applyAlignment="1" applyProtection="1">
      <alignment horizontal="center" vertical="top"/>
      <protection locked="0"/>
    </xf>
    <xf numFmtId="0" fontId="23" fillId="0" borderId="0" xfId="2" applyFont="1" applyAlignment="1">
      <alignment wrapText="1"/>
    </xf>
    <xf numFmtId="0" fontId="23" fillId="0" borderId="0" xfId="2" applyFont="1"/>
    <xf numFmtId="0" fontId="24" fillId="0" borderId="0" xfId="3" applyFont="1" applyAlignment="1">
      <alignment wrapText="1"/>
    </xf>
    <xf numFmtId="0" fontId="5" fillId="0" borderId="7" xfId="2" applyFont="1" applyBorder="1" applyAlignment="1">
      <alignment vertical="top" wrapText="1"/>
    </xf>
    <xf numFmtId="0" fontId="2" fillId="0" borderId="9" xfId="2" applyBorder="1"/>
    <xf numFmtId="0" fontId="6" fillId="8" borderId="0" xfId="2" applyFont="1" applyFill="1" applyAlignment="1">
      <alignment horizontal="center" vertical="center" wrapText="1"/>
    </xf>
    <xf numFmtId="0" fontId="6" fillId="0" borderId="0" xfId="2" applyFont="1" applyAlignment="1">
      <alignment horizontal="center" vertical="center" wrapText="1"/>
    </xf>
    <xf numFmtId="0" fontId="7" fillId="3" borderId="1" xfId="2" applyFont="1" applyFill="1" applyBorder="1" applyAlignment="1">
      <alignment horizontal="left" vertical="top" wrapText="1"/>
    </xf>
    <xf numFmtId="0" fontId="2" fillId="0" borderId="1" xfId="2" applyBorder="1" applyAlignment="1">
      <alignment horizontal="center" vertical="top" wrapText="1"/>
    </xf>
    <xf numFmtId="0" fontId="2" fillId="2" borderId="3" xfId="2" applyFill="1" applyBorder="1" applyAlignment="1" applyProtection="1">
      <alignment horizontal="center" vertical="top"/>
      <protection locked="0"/>
    </xf>
    <xf numFmtId="0" fontId="2" fillId="2" borderId="4" xfId="2" applyFill="1" applyBorder="1" applyAlignment="1" applyProtection="1">
      <alignment horizontal="center" vertical="top"/>
      <protection locked="0"/>
    </xf>
    <xf numFmtId="0" fontId="2" fillId="2" borderId="5" xfId="2" applyFill="1" applyBorder="1" applyAlignment="1" applyProtection="1">
      <alignment horizontal="center" vertical="top"/>
      <protection locked="0"/>
    </xf>
    <xf numFmtId="0" fontId="2" fillId="0" borderId="23" xfId="2" applyBorder="1" applyAlignment="1">
      <alignment horizontal="left" vertical="top" wrapText="1"/>
    </xf>
    <xf numFmtId="0" fontId="2" fillId="0" borderId="24" xfId="2" applyBorder="1" applyAlignment="1">
      <alignment horizontal="left" vertical="top"/>
    </xf>
    <xf numFmtId="0" fontId="2" fillId="0" borderId="25" xfId="2" applyBorder="1" applyAlignment="1">
      <alignment horizontal="left" vertical="top"/>
    </xf>
    <xf numFmtId="0" fontId="2" fillId="0" borderId="3" xfId="2" applyBorder="1" applyAlignment="1">
      <alignment horizontal="center" vertical="top" wrapText="1"/>
    </xf>
    <xf numFmtId="0" fontId="2" fillId="0" borderId="4" xfId="2" applyBorder="1" applyAlignment="1">
      <alignment horizontal="center" vertical="top" wrapText="1"/>
    </xf>
    <xf numFmtId="0" fontId="2" fillId="0" borderId="5" xfId="2" applyBorder="1" applyAlignment="1">
      <alignment horizontal="center" vertical="top" wrapText="1"/>
    </xf>
    <xf numFmtId="0" fontId="2" fillId="2" borderId="1" xfId="2" applyFill="1" applyBorder="1" applyAlignment="1" applyProtection="1">
      <alignment horizontal="center" vertical="top"/>
      <protection locked="0"/>
    </xf>
    <xf numFmtId="0" fontId="7" fillId="3" borderId="8" xfId="2" applyFont="1" applyFill="1" applyBorder="1" applyAlignment="1">
      <alignment horizontal="center" vertical="top" wrapText="1"/>
    </xf>
    <xf numFmtId="0" fontId="7" fillId="3" borderId="9" xfId="2" applyFont="1" applyFill="1" applyBorder="1" applyAlignment="1">
      <alignment horizontal="center" vertical="top" wrapText="1"/>
    </xf>
    <xf numFmtId="0" fontId="8" fillId="4" borderId="7" xfId="2" applyFont="1" applyFill="1" applyBorder="1" applyAlignment="1">
      <alignment horizontal="center" vertical="center" wrapText="1"/>
    </xf>
    <xf numFmtId="0" fontId="2" fillId="0" borderId="8" xfId="2" applyBorder="1"/>
    <xf numFmtId="0" fontId="6" fillId="0" borderId="10" xfId="2" applyFont="1" applyBorder="1" applyAlignment="1">
      <alignment horizontal="left" vertical="center" wrapText="1"/>
    </xf>
    <xf numFmtId="0" fontId="2" fillId="0" borderId="11" xfId="2" applyBorder="1"/>
    <xf numFmtId="0" fontId="2" fillId="0" borderId="12" xfId="2" applyBorder="1"/>
    <xf numFmtId="0" fontId="6" fillId="5" borderId="7" xfId="2" applyFont="1" applyFill="1" applyBorder="1" applyAlignment="1">
      <alignment horizontal="left" vertical="center" wrapText="1"/>
    </xf>
    <xf numFmtId="0" fontId="5" fillId="0" borderId="14" xfId="2" applyFont="1" applyBorder="1" applyAlignment="1">
      <alignment horizontal="left" vertical="top" wrapText="1"/>
    </xf>
    <xf numFmtId="0" fontId="2" fillId="0" borderId="0" xfId="2" applyAlignment="1">
      <alignment wrapText="1"/>
    </xf>
    <xf numFmtId="0" fontId="2" fillId="0" borderId="14" xfId="2" applyBorder="1"/>
    <xf numFmtId="0" fontId="2" fillId="0" borderId="6" xfId="2" applyBorder="1" applyAlignment="1">
      <alignment horizontal="center"/>
    </xf>
    <xf numFmtId="0" fontId="2" fillId="0" borderId="22" xfId="2" applyBorder="1" applyAlignment="1">
      <alignment horizontal="center"/>
    </xf>
    <xf numFmtId="0" fontId="5" fillId="0" borderId="21" xfId="2" applyFont="1" applyBorder="1" applyAlignment="1">
      <alignment vertical="top" wrapText="1"/>
    </xf>
    <xf numFmtId="0" fontId="2" fillId="0" borderId="22" xfId="2" applyBorder="1"/>
    <xf numFmtId="0" fontId="7" fillId="3" borderId="20" xfId="2" applyFont="1" applyFill="1" applyBorder="1" applyAlignment="1">
      <alignment horizontal="center" vertical="top" wrapText="1"/>
    </xf>
    <xf numFmtId="0" fontId="2" fillId="0" borderId="10" xfId="2" applyBorder="1" applyAlignment="1">
      <alignment horizontal="center" vertical="top" wrapText="1"/>
    </xf>
    <xf numFmtId="0" fontId="2" fillId="0" borderId="18" xfId="2" applyBorder="1"/>
    <xf numFmtId="0" fontId="5" fillId="0" borderId="18" xfId="2" applyFont="1" applyBorder="1" applyAlignment="1">
      <alignment horizontal="left" vertical="top" wrapText="1"/>
    </xf>
    <xf numFmtId="0" fontId="3" fillId="3" borderId="0" xfId="2" applyFont="1" applyFill="1" applyAlignment="1">
      <alignment horizontal="center" wrapText="1"/>
    </xf>
    <xf numFmtId="0" fontId="4" fillId="0" borderId="0" xfId="2" applyFont="1" applyAlignment="1">
      <alignment wrapText="1"/>
    </xf>
    <xf numFmtId="0" fontId="5" fillId="0" borderId="0" xfId="2" applyFont="1" applyAlignment="1">
      <alignment wrapText="1"/>
    </xf>
    <xf numFmtId="0" fontId="6" fillId="3" borderId="0" xfId="2" applyFont="1" applyFill="1" applyAlignment="1">
      <alignment horizontal="center" wrapText="1"/>
    </xf>
    <xf numFmtId="0" fontId="5" fillId="0" borderId="7" xfId="2" applyFont="1" applyBorder="1" applyAlignment="1">
      <alignment horizontal="left" vertical="top" wrapText="1"/>
    </xf>
    <xf numFmtId="0" fontId="7" fillId="3" borderId="7" xfId="2" applyFont="1" applyFill="1" applyBorder="1" applyAlignment="1">
      <alignment horizontal="center" vertical="top" wrapText="1"/>
    </xf>
    <xf numFmtId="0" fontId="5" fillId="0" borderId="7" xfId="2" applyFont="1" applyBorder="1" applyAlignment="1">
      <alignment horizontal="left" vertical="center" wrapText="1"/>
    </xf>
    <xf numFmtId="0" fontId="5" fillId="0" borderId="15" xfId="2" applyFont="1" applyBorder="1" applyAlignment="1">
      <alignment horizontal="left" vertical="center" wrapText="1"/>
    </xf>
    <xf numFmtId="0" fontId="5" fillId="0" borderId="9" xfId="2" applyFont="1" applyBorder="1" applyAlignment="1">
      <alignment horizontal="left" vertical="center" wrapText="1"/>
    </xf>
    <xf numFmtId="0" fontId="21" fillId="7" borderId="11" xfId="2" applyFont="1" applyFill="1" applyBorder="1" applyAlignment="1">
      <alignment horizont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0" xfId="0" applyFont="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0" xfId="0" applyFont="1" applyAlignment="1">
      <alignment horizontal="center" vertical="center" wrapText="1"/>
    </xf>
    <xf numFmtId="0" fontId="14" fillId="0" borderId="33" xfId="0" applyFont="1" applyBorder="1" applyAlignment="1">
      <alignment horizontal="center" vertical="center" wrapText="1"/>
    </xf>
    <xf numFmtId="0" fontId="15" fillId="0" borderId="0" xfId="0" applyFont="1" applyAlignment="1">
      <alignment horizontal="center" vertical="center" wrapText="1"/>
    </xf>
    <xf numFmtId="0" fontId="15" fillId="0" borderId="33" xfId="0" applyFont="1" applyBorder="1" applyAlignment="1">
      <alignment horizontal="center" vertical="center" wrapText="1"/>
    </xf>
    <xf numFmtId="0" fontId="12" fillId="0" borderId="6" xfId="0" applyFont="1" applyBorder="1" applyAlignment="1">
      <alignment horizontal="left" vertical="center" wrapText="1"/>
    </xf>
    <xf numFmtId="0" fontId="12" fillId="0" borderId="34" xfId="0" applyFont="1" applyBorder="1" applyAlignment="1">
      <alignment horizontal="left" vertical="center" wrapText="1"/>
    </xf>
    <xf numFmtId="0" fontId="0" fillId="0" borderId="34" xfId="0" applyBorder="1" applyAlignment="1">
      <alignment horizontal="center"/>
    </xf>
    <xf numFmtId="0" fontId="0" fillId="0" borderId="22" xfId="0" applyBorder="1" applyAlignment="1">
      <alignment horizontal="center"/>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38" xfId="0" applyFont="1" applyBorder="1" applyAlignment="1">
      <alignment horizontal="left" vertical="center" wrapText="1"/>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0" fillId="0" borderId="0" xfId="0" applyAlignment="1">
      <alignment horizontal="center"/>
    </xf>
    <xf numFmtId="0" fontId="17" fillId="0" borderId="0" xfId="0" applyFont="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7" fillId="0" borderId="1" xfId="0" applyFont="1" applyBorder="1" applyAlignment="1">
      <alignment horizontal="left" vertical="top" wrapText="1"/>
    </xf>
    <xf numFmtId="0" fontId="18" fillId="0" borderId="1" xfId="0" applyFont="1" applyBorder="1" applyAlignment="1">
      <alignment horizontal="center" vertical="top"/>
    </xf>
    <xf numFmtId="0" fontId="17" fillId="0" borderId="1" xfId="0" applyFont="1" applyBorder="1" applyAlignment="1">
      <alignment horizontal="left" vertical="center" wrapText="1"/>
    </xf>
    <xf numFmtId="0" fontId="17" fillId="0" borderId="6" xfId="0" applyFont="1" applyBorder="1" applyAlignment="1">
      <alignment horizontal="left" vertical="center" wrapText="1"/>
    </xf>
    <xf numFmtId="0" fontId="17" fillId="0" borderId="34" xfId="0" applyFont="1" applyBorder="1" applyAlignment="1">
      <alignment horizontal="left" vertical="center" wrapText="1"/>
    </xf>
    <xf numFmtId="0" fontId="17" fillId="0" borderId="22" xfId="0" applyFont="1" applyBorder="1" applyAlignment="1">
      <alignment horizontal="left" vertical="center" wrapText="1"/>
    </xf>
    <xf numFmtId="0" fontId="11" fillId="0" borderId="41" xfId="0" applyFont="1" applyBorder="1" applyAlignment="1">
      <alignment horizontal="center"/>
    </xf>
    <xf numFmtId="0" fontId="11" fillId="0" borderId="43" xfId="0" applyFont="1" applyBorder="1" applyAlignment="1">
      <alignment horizontal="center"/>
    </xf>
    <xf numFmtId="0" fontId="17" fillId="0" borderId="41" xfId="0" applyFont="1" applyBorder="1" applyAlignment="1">
      <alignment horizontal="center"/>
    </xf>
    <xf numFmtId="0" fontId="17" fillId="0" borderId="43" xfId="0" applyFont="1" applyBorder="1" applyAlignment="1">
      <alignment horizontal="center"/>
    </xf>
    <xf numFmtId="0" fontId="17" fillId="0" borderId="44" xfId="0" applyFont="1" applyBorder="1" applyAlignment="1">
      <alignment horizontal="left" wrapText="1"/>
    </xf>
    <xf numFmtId="0" fontId="17" fillId="0" borderId="5" xfId="0" applyFont="1" applyBorder="1" applyAlignment="1">
      <alignment horizontal="left" wrapText="1"/>
    </xf>
    <xf numFmtId="0" fontId="17" fillId="0" borderId="45" xfId="0" applyFont="1" applyBorder="1" applyAlignment="1">
      <alignment horizontal="left" wrapText="1"/>
    </xf>
    <xf numFmtId="0" fontId="17" fillId="0" borderId="46" xfId="0" applyFont="1" applyBorder="1" applyAlignment="1">
      <alignment horizontal="left" wrapText="1"/>
    </xf>
    <xf numFmtId="0" fontId="17" fillId="0" borderId="3" xfId="0" applyFont="1" applyBorder="1" applyAlignment="1">
      <alignment horizontal="left" wrapText="1"/>
    </xf>
    <xf numFmtId="0" fontId="17" fillId="0" borderId="47" xfId="0" applyFont="1" applyBorder="1" applyAlignment="1">
      <alignment horizontal="left" wrapText="1"/>
    </xf>
    <xf numFmtId="0" fontId="18" fillId="0" borderId="32" xfId="0" applyFont="1" applyBorder="1" applyAlignment="1">
      <alignment horizontal="center"/>
    </xf>
    <xf numFmtId="0" fontId="18" fillId="0" borderId="0" xfId="0" applyFont="1" applyAlignment="1">
      <alignment horizontal="center"/>
    </xf>
    <xf numFmtId="0" fontId="18" fillId="0" borderId="33" xfId="0" applyFont="1" applyBorder="1" applyAlignment="1">
      <alignment horizontal="center"/>
    </xf>
    <xf numFmtId="0" fontId="0" fillId="0" borderId="41" xfId="0" applyBorder="1" applyAlignment="1">
      <alignment horizontal="center" vertical="center" wrapText="1"/>
    </xf>
    <xf numFmtId="0" fontId="0" fillId="0" borderId="42" xfId="0" applyBorder="1" applyAlignment="1">
      <alignment horizontal="center" vertical="center"/>
    </xf>
    <xf numFmtId="0" fontId="0" fillId="0" borderId="48" xfId="0" applyBorder="1" applyAlignment="1">
      <alignment horizontal="center" vertical="top"/>
    </xf>
    <xf numFmtId="0" fontId="0" fillId="0" borderId="42" xfId="0" applyBorder="1" applyAlignment="1">
      <alignment horizontal="center" vertical="top"/>
    </xf>
    <xf numFmtId="0" fontId="0" fillId="0" borderId="43" xfId="0" applyBorder="1" applyAlignment="1">
      <alignment horizontal="center" vertical="top"/>
    </xf>
    <xf numFmtId="0" fontId="0" fillId="0" borderId="49" xfId="0" applyBorder="1" applyAlignment="1">
      <alignment horizontal="center"/>
    </xf>
    <xf numFmtId="0" fontId="0" fillId="0" borderId="2" xfId="0" applyBorder="1" applyAlignment="1">
      <alignment horizontal="center"/>
    </xf>
    <xf numFmtId="0" fontId="0" fillId="0" borderId="44" xfId="0" applyBorder="1" applyAlignment="1">
      <alignment horizontal="center"/>
    </xf>
    <xf numFmtId="0" fontId="0" fillId="0" borderId="48" xfId="0" applyBorder="1" applyAlignment="1">
      <alignment horizontal="center" vertical="center"/>
    </xf>
    <xf numFmtId="0" fontId="0" fillId="0" borderId="43" xfId="0" applyBorder="1" applyAlignment="1">
      <alignment horizontal="center" vertical="center"/>
    </xf>
    <xf numFmtId="0" fontId="19" fillId="0" borderId="6" xfId="0" applyFont="1" applyBorder="1" applyAlignment="1">
      <alignment horizontal="left" vertical="top" wrapText="1"/>
    </xf>
    <xf numFmtId="0" fontId="19" fillId="0" borderId="34" xfId="0" applyFont="1" applyBorder="1" applyAlignment="1">
      <alignment horizontal="left" vertical="top" wrapText="1"/>
    </xf>
    <xf numFmtId="0" fontId="19" fillId="0" borderId="22" xfId="0" applyFont="1" applyBorder="1" applyAlignment="1">
      <alignment horizontal="left" vertical="top" wrapText="1"/>
    </xf>
  </cellXfs>
  <cellStyles count="4">
    <cellStyle name="Hyperlink" xfId="3" builtinId="8"/>
    <cellStyle name="Normal" xfId="0" builtinId="0"/>
    <cellStyle name="Normal 2" xfId="2" xr:uid="{00000000-0005-0000-0000-000002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212149</xdr:colOff>
      <xdr:row>1</xdr:row>
      <xdr:rowOff>91467</xdr:rowOff>
    </xdr:from>
    <xdr:to>
      <xdr:col>1</xdr:col>
      <xdr:colOff>845343</xdr:colOff>
      <xdr:row>5</xdr:row>
      <xdr:rowOff>128702</xdr:rowOff>
    </xdr:to>
    <xdr:pic>
      <xdr:nvPicPr>
        <xdr:cNvPr id="2" name="Picture 3" descr="Logo Universitas Ma Chung - Transparant">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149" y="291492"/>
          <a:ext cx="890369" cy="923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chungac.sharepoint.com/:w:/s/AMAI/EVwislPLTC1JhbQhejR_NrYBnKo7-1ZjNHxvwKPc8gzU7g?e=5kL2yH"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
  <sheetViews>
    <sheetView showGridLines="0" tabSelected="1" zoomScale="120" zoomScaleNormal="120" workbookViewId="0">
      <selection activeCell="I5" sqref="I5"/>
    </sheetView>
  </sheetViews>
  <sheetFormatPr defaultColWidth="8.85546875" defaultRowHeight="15.75" x14ac:dyDescent="0.25"/>
  <cols>
    <col min="1" max="1" width="2.42578125" style="1" customWidth="1"/>
    <col min="2" max="2" width="8.85546875" style="1" customWidth="1"/>
    <col min="3" max="3" width="3.28515625" style="1" customWidth="1"/>
    <col min="4" max="4" width="3.140625" style="1" customWidth="1"/>
    <col min="5" max="5" width="3.7109375" style="1" customWidth="1"/>
    <col min="6" max="6" width="8.85546875" style="1" customWidth="1"/>
    <col min="7" max="7" width="48.42578125" style="1" customWidth="1"/>
    <col min="8" max="8" width="9.28515625" style="16" customWidth="1"/>
    <col min="9" max="9" width="53.7109375" style="3" customWidth="1"/>
    <col min="10" max="10" width="17.85546875" style="1" customWidth="1"/>
    <col min="11" max="11" width="8.85546875" style="1" customWidth="1"/>
    <col min="12" max="16384" width="8.85546875" style="2"/>
  </cols>
  <sheetData>
    <row r="1" spans="1:12" x14ac:dyDescent="0.25">
      <c r="I1" s="41" t="s">
        <v>0</v>
      </c>
    </row>
    <row r="2" spans="1:12" ht="25.7" customHeight="1" x14ac:dyDescent="0.4">
      <c r="B2" s="84" t="s">
        <v>1</v>
      </c>
      <c r="C2" s="74"/>
      <c r="D2" s="74"/>
      <c r="E2" s="74"/>
      <c r="F2" s="74"/>
      <c r="G2" s="74"/>
      <c r="H2" s="85"/>
      <c r="I2" s="86"/>
    </row>
    <row r="3" spans="1:12" s="47" customFormat="1" ht="30" customHeight="1" x14ac:dyDescent="0.3">
      <c r="A3" s="46"/>
      <c r="B3" s="51" t="s">
        <v>2</v>
      </c>
      <c r="C3" s="51"/>
      <c r="D3" s="51"/>
      <c r="E3" s="51"/>
      <c r="F3" s="51"/>
      <c r="G3" s="51"/>
      <c r="H3" s="51"/>
      <c r="I3" s="51"/>
      <c r="J3" s="46"/>
      <c r="K3" s="46"/>
    </row>
    <row r="4" spans="1:12" ht="15.75" customHeight="1" x14ac:dyDescent="0.3">
      <c r="B4" s="52" t="s">
        <v>3</v>
      </c>
      <c r="C4" s="52"/>
      <c r="D4" s="52"/>
      <c r="E4" s="52"/>
      <c r="F4" s="52"/>
      <c r="G4" s="48"/>
      <c r="I4" s="48"/>
    </row>
    <row r="5" spans="1:12" ht="18.75" x14ac:dyDescent="0.3">
      <c r="B5" s="52"/>
      <c r="C5" s="52"/>
      <c r="D5" s="52"/>
      <c r="E5" s="52"/>
      <c r="F5" s="52"/>
      <c r="G5" s="48" t="s">
        <v>4</v>
      </c>
      <c r="I5" s="48"/>
    </row>
    <row r="6" spans="1:12" ht="18.75" x14ac:dyDescent="0.3">
      <c r="B6" s="52"/>
      <c r="C6" s="52"/>
      <c r="D6" s="52"/>
      <c r="E6" s="52"/>
      <c r="F6" s="52"/>
      <c r="G6" s="48"/>
    </row>
    <row r="7" spans="1:12" ht="18" customHeight="1" x14ac:dyDescent="0.3">
      <c r="B7" s="87" t="s">
        <v>5</v>
      </c>
      <c r="C7" s="74"/>
      <c r="D7" s="74"/>
      <c r="E7" s="74"/>
      <c r="F7" s="74"/>
      <c r="G7" s="74"/>
      <c r="H7" s="85"/>
      <c r="I7" s="86"/>
    </row>
    <row r="8" spans="1:12" ht="18.75" customHeight="1" x14ac:dyDescent="0.3">
      <c r="B8" s="42" t="s">
        <v>3</v>
      </c>
      <c r="C8" s="42"/>
      <c r="D8" s="42"/>
      <c r="E8" s="42"/>
      <c r="F8" s="42"/>
      <c r="G8" s="93"/>
      <c r="H8" s="93"/>
      <c r="I8" s="93"/>
    </row>
    <row r="9" spans="1:12" ht="32.1" customHeight="1" x14ac:dyDescent="0.25">
      <c r="B9" s="67" t="s">
        <v>6</v>
      </c>
      <c r="C9" s="68"/>
      <c r="D9" s="68"/>
      <c r="E9" s="68"/>
      <c r="F9" s="68"/>
      <c r="G9" s="68"/>
      <c r="H9" s="68"/>
      <c r="I9" s="50"/>
    </row>
    <row r="10" spans="1:12" ht="18.75" x14ac:dyDescent="0.25">
      <c r="B10" s="4" t="s">
        <v>7</v>
      </c>
      <c r="C10" s="69" t="s">
        <v>8</v>
      </c>
      <c r="D10" s="70"/>
      <c r="E10" s="70"/>
      <c r="F10" s="70"/>
      <c r="G10" s="71"/>
      <c r="H10" s="5" t="s">
        <v>9</v>
      </c>
      <c r="I10" s="5" t="s">
        <v>10</v>
      </c>
    </row>
    <row r="11" spans="1:12" s="1" customFormat="1" ht="18.75" x14ac:dyDescent="0.25">
      <c r="B11" s="6" t="s">
        <v>11</v>
      </c>
      <c r="C11" s="72" t="s">
        <v>12</v>
      </c>
      <c r="D11" s="68"/>
      <c r="E11" s="68"/>
      <c r="F11" s="68"/>
      <c r="G11" s="50"/>
      <c r="H11" s="7"/>
      <c r="I11" s="8"/>
      <c r="J11" s="9"/>
      <c r="L11" s="2"/>
    </row>
    <row r="12" spans="1:12" s="1" customFormat="1" ht="125.25" customHeight="1" x14ac:dyDescent="0.25">
      <c r="B12" s="61" t="s">
        <v>13</v>
      </c>
      <c r="C12" s="73" t="s">
        <v>14</v>
      </c>
      <c r="D12" s="74"/>
      <c r="E12" s="74"/>
      <c r="F12" s="74"/>
      <c r="G12" s="75"/>
      <c r="H12" s="10"/>
      <c r="I12" s="64"/>
      <c r="L12" s="2"/>
    </row>
    <row r="13" spans="1:12" s="1" customFormat="1" ht="160.5" customHeight="1" x14ac:dyDescent="0.25">
      <c r="B13" s="62"/>
      <c r="C13" s="66">
        <v>4</v>
      </c>
      <c r="D13" s="68"/>
      <c r="E13" s="50"/>
      <c r="F13" s="88" t="s">
        <v>15</v>
      </c>
      <c r="G13" s="50"/>
      <c r="H13" s="11"/>
      <c r="I13" s="64"/>
      <c r="L13" s="2"/>
    </row>
    <row r="14" spans="1:12" s="1" customFormat="1" ht="175.5" customHeight="1" x14ac:dyDescent="0.25">
      <c r="B14" s="62"/>
      <c r="C14" s="66">
        <v>3</v>
      </c>
      <c r="D14" s="68"/>
      <c r="E14" s="50"/>
      <c r="F14" s="88" t="s">
        <v>16</v>
      </c>
      <c r="G14" s="50"/>
      <c r="H14" s="11"/>
      <c r="I14" s="64"/>
      <c r="L14" s="2"/>
    </row>
    <row r="15" spans="1:12" s="1" customFormat="1" ht="48" customHeight="1" x14ac:dyDescent="0.25">
      <c r="B15" s="63"/>
      <c r="C15" s="80">
        <v>0</v>
      </c>
      <c r="D15" s="65"/>
      <c r="E15" s="66"/>
      <c r="F15" s="91" t="s">
        <v>17</v>
      </c>
      <c r="G15" s="92"/>
      <c r="H15" s="12"/>
      <c r="I15" s="64"/>
      <c r="L15" s="2"/>
    </row>
    <row r="16" spans="1:12" s="1" customFormat="1" ht="18.75" x14ac:dyDescent="0.25">
      <c r="B16" s="81" t="s">
        <v>18</v>
      </c>
      <c r="C16" s="83" t="s">
        <v>19</v>
      </c>
      <c r="D16" s="74"/>
      <c r="E16" s="74"/>
      <c r="F16" s="74"/>
      <c r="G16" s="75"/>
      <c r="H16" s="13"/>
      <c r="I16" s="64"/>
      <c r="L16" s="2"/>
    </row>
    <row r="17" spans="2:12" s="1" customFormat="1" ht="80.099999999999994" customHeight="1" x14ac:dyDescent="0.25">
      <c r="B17" s="82"/>
      <c r="C17" s="89">
        <v>4</v>
      </c>
      <c r="D17" s="68"/>
      <c r="E17" s="50"/>
      <c r="F17" s="88" t="s">
        <v>20</v>
      </c>
      <c r="G17" s="50"/>
      <c r="H17" s="14"/>
      <c r="I17" s="64"/>
      <c r="L17" s="2"/>
    </row>
    <row r="18" spans="2:12" s="1" customFormat="1" ht="80.099999999999994" customHeight="1" x14ac:dyDescent="0.25">
      <c r="B18" s="82"/>
      <c r="C18" s="89">
        <v>3</v>
      </c>
      <c r="D18" s="68"/>
      <c r="E18" s="50"/>
      <c r="F18" s="88" t="s">
        <v>21</v>
      </c>
      <c r="G18" s="50"/>
      <c r="H18" s="14"/>
      <c r="I18" s="64"/>
      <c r="L18" s="2"/>
    </row>
    <row r="19" spans="2:12" s="1" customFormat="1" ht="15" x14ac:dyDescent="0.25">
      <c r="B19" s="82"/>
      <c r="C19" s="89">
        <v>0</v>
      </c>
      <c r="D19" s="68"/>
      <c r="E19" s="50"/>
      <c r="F19" s="90" t="s">
        <v>22</v>
      </c>
      <c r="G19" s="50"/>
      <c r="H19" s="15"/>
      <c r="I19" s="64"/>
      <c r="L19" s="2"/>
    </row>
    <row r="20" spans="2:12" s="1" customFormat="1" x14ac:dyDescent="0.25">
      <c r="H20" s="16"/>
      <c r="I20" s="3"/>
      <c r="L20" s="2"/>
    </row>
    <row r="21" spans="2:12" s="1" customFormat="1" ht="32.1" customHeight="1" x14ac:dyDescent="0.25">
      <c r="B21" s="67" t="s">
        <v>23</v>
      </c>
      <c r="C21" s="68"/>
      <c r="D21" s="68"/>
      <c r="E21" s="68"/>
      <c r="F21" s="68"/>
      <c r="G21" s="68"/>
      <c r="H21" s="68"/>
      <c r="I21" s="50"/>
      <c r="L21" s="2"/>
    </row>
    <row r="22" spans="2:12" ht="18.75" x14ac:dyDescent="0.25">
      <c r="B22" s="4" t="s">
        <v>7</v>
      </c>
      <c r="C22" s="69" t="s">
        <v>8</v>
      </c>
      <c r="D22" s="70"/>
      <c r="E22" s="70"/>
      <c r="F22" s="70"/>
      <c r="G22" s="71"/>
      <c r="H22" s="5" t="s">
        <v>9</v>
      </c>
      <c r="I22" s="5" t="s">
        <v>24</v>
      </c>
    </row>
    <row r="23" spans="2:12" ht="18.75" x14ac:dyDescent="0.25">
      <c r="B23" s="6">
        <v>2</v>
      </c>
      <c r="C23" s="72" t="s">
        <v>25</v>
      </c>
      <c r="D23" s="68"/>
      <c r="E23" s="68"/>
      <c r="F23" s="68"/>
      <c r="G23" s="50"/>
      <c r="H23" s="7"/>
      <c r="I23" s="8"/>
    </row>
    <row r="24" spans="2:12" ht="38.25" customHeight="1" x14ac:dyDescent="0.25">
      <c r="B24" s="61" t="s">
        <v>13</v>
      </c>
      <c r="C24" s="73" t="s">
        <v>26</v>
      </c>
      <c r="D24" s="74"/>
      <c r="E24" s="74"/>
      <c r="F24" s="74"/>
      <c r="G24" s="75"/>
      <c r="H24" s="10"/>
      <c r="I24" s="64"/>
    </row>
    <row r="25" spans="2:12" ht="63.95" customHeight="1" x14ac:dyDescent="0.25">
      <c r="B25" s="62"/>
      <c r="C25" s="65">
        <v>4</v>
      </c>
      <c r="D25" s="65"/>
      <c r="E25" s="66"/>
      <c r="F25" s="49" t="s">
        <v>27</v>
      </c>
      <c r="G25" s="50"/>
      <c r="H25" s="11"/>
      <c r="I25" s="64"/>
    </row>
    <row r="26" spans="2:12" ht="63.95" customHeight="1" x14ac:dyDescent="0.25">
      <c r="B26" s="62"/>
      <c r="C26" s="80">
        <v>3</v>
      </c>
      <c r="D26" s="65"/>
      <c r="E26" s="66"/>
      <c r="F26" s="49" t="s">
        <v>28</v>
      </c>
      <c r="G26" s="50"/>
      <c r="H26" s="11"/>
      <c r="I26" s="64"/>
    </row>
    <row r="27" spans="2:12" x14ac:dyDescent="0.25">
      <c r="B27" s="63"/>
      <c r="C27" s="65">
        <v>0</v>
      </c>
      <c r="D27" s="65"/>
      <c r="E27" s="66"/>
      <c r="F27" s="49" t="s">
        <v>29</v>
      </c>
      <c r="G27" s="50"/>
      <c r="H27" s="12"/>
      <c r="I27" s="64"/>
    </row>
    <row r="28" spans="2:12" ht="161.25" customHeight="1" x14ac:dyDescent="0.25">
      <c r="B28" s="61" t="s">
        <v>18</v>
      </c>
      <c r="C28" s="73" t="s">
        <v>30</v>
      </c>
      <c r="D28" s="74"/>
      <c r="E28" s="74"/>
      <c r="F28" s="74"/>
      <c r="G28" s="75"/>
      <c r="H28" s="10"/>
      <c r="I28" s="64"/>
    </row>
    <row r="29" spans="2:12" ht="33.950000000000003" customHeight="1" x14ac:dyDescent="0.25">
      <c r="B29" s="62"/>
      <c r="C29" s="65">
        <v>4</v>
      </c>
      <c r="D29" s="65"/>
      <c r="E29" s="65"/>
      <c r="F29" s="78" t="s">
        <v>31</v>
      </c>
      <c r="G29" s="79"/>
      <c r="H29" s="17"/>
      <c r="I29" s="64"/>
    </row>
    <row r="30" spans="2:12" ht="33.950000000000003" customHeight="1" x14ac:dyDescent="0.25">
      <c r="B30" s="62"/>
      <c r="C30" s="65">
        <v>3</v>
      </c>
      <c r="D30" s="65"/>
      <c r="E30" s="66"/>
      <c r="F30" s="78" t="s">
        <v>32</v>
      </c>
      <c r="G30" s="79"/>
      <c r="H30" s="11"/>
      <c r="I30" s="64"/>
    </row>
    <row r="31" spans="2:12" x14ac:dyDescent="0.25">
      <c r="B31" s="63"/>
      <c r="C31" s="65">
        <v>0</v>
      </c>
      <c r="D31" s="65"/>
      <c r="E31" s="66"/>
      <c r="F31" s="49" t="s">
        <v>29</v>
      </c>
      <c r="G31" s="50"/>
      <c r="H31" s="12"/>
      <c r="I31" s="64"/>
    </row>
    <row r="32" spans="2:12" ht="48" customHeight="1" x14ac:dyDescent="0.25">
      <c r="B32" s="61" t="s">
        <v>33</v>
      </c>
      <c r="C32" s="73" t="s">
        <v>34</v>
      </c>
      <c r="D32" s="74"/>
      <c r="E32" s="74"/>
      <c r="F32" s="74"/>
      <c r="G32" s="75"/>
      <c r="H32" s="10"/>
      <c r="I32" s="64"/>
    </row>
    <row r="33" spans="2:12" ht="113.1" customHeight="1" x14ac:dyDescent="0.25">
      <c r="B33" s="62"/>
      <c r="C33" s="65">
        <v>4</v>
      </c>
      <c r="D33" s="65"/>
      <c r="E33" s="66"/>
      <c r="F33" s="49" t="s">
        <v>35</v>
      </c>
      <c r="G33" s="50"/>
      <c r="H33" s="11"/>
      <c r="I33" s="64"/>
    </row>
    <row r="34" spans="2:12" s="1" customFormat="1" ht="95.1" customHeight="1" x14ac:dyDescent="0.25">
      <c r="B34" s="62"/>
      <c r="C34" s="65">
        <v>3</v>
      </c>
      <c r="D34" s="65"/>
      <c r="E34" s="66"/>
      <c r="F34" s="49" t="s">
        <v>36</v>
      </c>
      <c r="G34" s="50"/>
      <c r="H34" s="11"/>
      <c r="I34" s="64"/>
      <c r="L34" s="2"/>
    </row>
    <row r="35" spans="2:12" s="1" customFormat="1" x14ac:dyDescent="0.25">
      <c r="B35" s="63"/>
      <c r="C35" s="65">
        <v>0</v>
      </c>
      <c r="D35" s="65"/>
      <c r="E35" s="66"/>
      <c r="F35" s="49" t="s">
        <v>29</v>
      </c>
      <c r="G35" s="50"/>
      <c r="H35" s="12"/>
      <c r="I35" s="64"/>
      <c r="L35" s="2"/>
    </row>
    <row r="37" spans="2:12" s="1" customFormat="1" ht="32.1" customHeight="1" x14ac:dyDescent="0.25">
      <c r="B37" s="67" t="s">
        <v>37</v>
      </c>
      <c r="C37" s="68"/>
      <c r="D37" s="68"/>
      <c r="E37" s="68"/>
      <c r="F37" s="68"/>
      <c r="G37" s="68"/>
      <c r="H37" s="68"/>
      <c r="I37" s="50"/>
      <c r="L37" s="2"/>
    </row>
    <row r="38" spans="2:12" s="1" customFormat="1" ht="18.75" x14ac:dyDescent="0.25">
      <c r="B38" s="4" t="s">
        <v>7</v>
      </c>
      <c r="C38" s="69" t="s">
        <v>8</v>
      </c>
      <c r="D38" s="70"/>
      <c r="E38" s="70"/>
      <c r="F38" s="70"/>
      <c r="G38" s="71"/>
      <c r="H38" s="5" t="s">
        <v>9</v>
      </c>
      <c r="I38" s="5" t="s">
        <v>24</v>
      </c>
      <c r="L38" s="2"/>
    </row>
    <row r="39" spans="2:12" s="1" customFormat="1" ht="18.75" x14ac:dyDescent="0.25">
      <c r="B39" s="6">
        <v>3</v>
      </c>
      <c r="C39" s="72" t="s">
        <v>38</v>
      </c>
      <c r="D39" s="68"/>
      <c r="E39" s="68"/>
      <c r="F39" s="68"/>
      <c r="G39" s="50"/>
      <c r="H39" s="7"/>
      <c r="I39" s="8"/>
      <c r="L39" s="2"/>
    </row>
    <row r="40" spans="2:12" s="1" customFormat="1" ht="18.75" x14ac:dyDescent="0.25">
      <c r="B40" s="61" t="s">
        <v>13</v>
      </c>
      <c r="C40" s="73" t="s">
        <v>39</v>
      </c>
      <c r="D40" s="74"/>
      <c r="E40" s="74"/>
      <c r="F40" s="74"/>
      <c r="G40" s="75"/>
      <c r="H40" s="20">
        <f>2 + (20*H45 + 100*H46) - (1000*H46*H45)</f>
        <v>4.0498614958448753</v>
      </c>
      <c r="I40" s="64"/>
      <c r="L40" s="2"/>
    </row>
    <row r="41" spans="2:12" s="1" customFormat="1" x14ac:dyDescent="0.25">
      <c r="B41" s="62"/>
      <c r="C41" s="53" t="s">
        <v>40</v>
      </c>
      <c r="D41" s="53"/>
      <c r="E41" s="53"/>
      <c r="F41" s="53"/>
      <c r="G41" s="53"/>
      <c r="H41" s="21">
        <v>5</v>
      </c>
      <c r="I41" s="64"/>
      <c r="L41" s="2"/>
    </row>
    <row r="42" spans="2:12" s="1" customFormat="1" x14ac:dyDescent="0.25">
      <c r="B42" s="62"/>
      <c r="C42" s="53" t="s">
        <v>41</v>
      </c>
      <c r="D42" s="53"/>
      <c r="E42" s="53"/>
      <c r="F42" s="53"/>
      <c r="G42" s="53"/>
      <c r="H42" s="21">
        <v>2</v>
      </c>
      <c r="I42" s="64"/>
      <c r="L42" s="2"/>
    </row>
    <row r="43" spans="2:12" s="1" customFormat="1" x14ac:dyDescent="0.25">
      <c r="B43" s="62"/>
      <c r="C43" s="53" t="s">
        <v>42</v>
      </c>
      <c r="D43" s="53"/>
      <c r="E43" s="53"/>
      <c r="F43" s="53"/>
      <c r="G43" s="53"/>
      <c r="H43" s="21">
        <v>2</v>
      </c>
      <c r="I43" s="64"/>
      <c r="L43" s="2"/>
    </row>
    <row r="44" spans="2:12" s="1" customFormat="1" x14ac:dyDescent="0.25">
      <c r="B44" s="62"/>
      <c r="C44" s="53" t="s">
        <v>43</v>
      </c>
      <c r="D44" s="53"/>
      <c r="E44" s="53"/>
      <c r="F44" s="53"/>
      <c r="G44" s="53"/>
      <c r="H44" s="21">
        <v>95</v>
      </c>
      <c r="I44" s="64"/>
      <c r="L44" s="2"/>
    </row>
    <row r="45" spans="2:12" s="1" customFormat="1" x14ac:dyDescent="0.25">
      <c r="B45" s="62"/>
      <c r="C45" s="53" t="s">
        <v>44</v>
      </c>
      <c r="D45" s="53"/>
      <c r="E45" s="53"/>
      <c r="F45" s="53"/>
      <c r="G45" s="53"/>
      <c r="H45" s="21">
        <f>H41/H44</f>
        <v>5.2631578947368418E-2</v>
      </c>
      <c r="I45" s="64"/>
      <c r="L45" s="2"/>
    </row>
    <row r="46" spans="2:12" s="1" customFormat="1" x14ac:dyDescent="0.25">
      <c r="B46" s="63"/>
      <c r="C46" s="53" t="s">
        <v>45</v>
      </c>
      <c r="D46" s="53"/>
      <c r="E46" s="53"/>
      <c r="F46" s="53"/>
      <c r="G46" s="53"/>
      <c r="H46" s="21">
        <f>H42/H44</f>
        <v>2.1052631578947368E-2</v>
      </c>
      <c r="I46" s="64"/>
      <c r="L46" s="2"/>
    </row>
    <row r="48" spans="2:12" ht="32.1" customHeight="1" x14ac:dyDescent="0.25">
      <c r="B48" s="67" t="s">
        <v>46</v>
      </c>
      <c r="C48" s="68"/>
      <c r="D48" s="68"/>
      <c r="E48" s="68"/>
      <c r="F48" s="68"/>
      <c r="G48" s="68"/>
      <c r="H48" s="68"/>
      <c r="I48" s="50"/>
    </row>
    <row r="49" spans="2:12" ht="18.75" x14ac:dyDescent="0.25">
      <c r="B49" s="4" t="s">
        <v>7</v>
      </c>
      <c r="C49" s="69" t="s">
        <v>8</v>
      </c>
      <c r="D49" s="70"/>
      <c r="E49" s="70"/>
      <c r="F49" s="70"/>
      <c r="G49" s="71"/>
      <c r="H49" s="5" t="s">
        <v>9</v>
      </c>
      <c r="I49" s="5" t="s">
        <v>24</v>
      </c>
    </row>
    <row r="50" spans="2:12" ht="18.75" x14ac:dyDescent="0.25">
      <c r="B50" s="6">
        <v>4</v>
      </c>
      <c r="C50" s="72" t="s">
        <v>47</v>
      </c>
      <c r="D50" s="68"/>
      <c r="E50" s="68"/>
      <c r="F50" s="68"/>
      <c r="G50" s="50"/>
      <c r="H50" s="7"/>
      <c r="I50" s="8"/>
    </row>
    <row r="51" spans="2:12" ht="32.25" customHeight="1" x14ac:dyDescent="0.25">
      <c r="B51" s="61" t="s">
        <v>13</v>
      </c>
      <c r="C51" s="73" t="s">
        <v>48</v>
      </c>
      <c r="D51" s="74"/>
      <c r="E51" s="74"/>
      <c r="F51" s="74"/>
      <c r="G51" s="75"/>
      <c r="H51" s="19">
        <f>2+4*(H54)</f>
        <v>4</v>
      </c>
      <c r="I51" s="55"/>
    </row>
    <row r="52" spans="2:12" s="1" customFormat="1" x14ac:dyDescent="0.25">
      <c r="B52" s="62"/>
      <c r="C52" s="53" t="s">
        <v>49</v>
      </c>
      <c r="D52" s="53"/>
      <c r="E52" s="53"/>
      <c r="F52" s="53"/>
      <c r="G52" s="53"/>
      <c r="H52" s="21">
        <v>4</v>
      </c>
      <c r="I52" s="56"/>
      <c r="L52" s="2"/>
    </row>
    <row r="53" spans="2:12" s="1" customFormat="1" ht="36.75" customHeight="1" x14ac:dyDescent="0.25">
      <c r="B53" s="62"/>
      <c r="C53" s="53" t="s">
        <v>50</v>
      </c>
      <c r="D53" s="53"/>
      <c r="E53" s="53"/>
      <c r="F53" s="53"/>
      <c r="G53" s="53"/>
      <c r="H53" s="21">
        <v>8</v>
      </c>
      <c r="I53" s="56"/>
      <c r="L53" s="2"/>
    </row>
    <row r="54" spans="2:12" s="1" customFormat="1" x14ac:dyDescent="0.25">
      <c r="B54" s="62"/>
      <c r="C54" s="53" t="s">
        <v>51</v>
      </c>
      <c r="D54" s="53"/>
      <c r="E54" s="53"/>
      <c r="F54" s="53"/>
      <c r="G54" s="53"/>
      <c r="H54" s="22">
        <f>H52/H53</f>
        <v>0.5</v>
      </c>
      <c r="I54" s="56"/>
      <c r="L54" s="2"/>
    </row>
    <row r="55" spans="2:12" s="1" customFormat="1" ht="33" customHeight="1" x14ac:dyDescent="0.25">
      <c r="B55" s="54" t="s">
        <v>18</v>
      </c>
      <c r="C55" s="73" t="s">
        <v>52</v>
      </c>
      <c r="D55" s="74"/>
      <c r="E55" s="74"/>
      <c r="F55" s="74"/>
      <c r="G55" s="75"/>
      <c r="H55" s="23">
        <f>2+((20*H60)/7)</f>
        <v>4.1428571428571423</v>
      </c>
      <c r="I55" s="64"/>
      <c r="L55" s="2"/>
    </row>
    <row r="56" spans="2:12" s="1" customFormat="1" x14ac:dyDescent="0.25">
      <c r="B56" s="54"/>
      <c r="C56" s="53" t="s">
        <v>53</v>
      </c>
      <c r="D56" s="53"/>
      <c r="E56" s="53"/>
      <c r="F56" s="53"/>
      <c r="G56" s="53"/>
      <c r="H56" s="21">
        <v>2</v>
      </c>
      <c r="I56" s="64"/>
      <c r="L56" s="2"/>
    </row>
    <row r="57" spans="2:12" s="1" customFormat="1" x14ac:dyDescent="0.25">
      <c r="B57" s="54"/>
      <c r="C57" s="53" t="s">
        <v>54</v>
      </c>
      <c r="D57" s="53"/>
      <c r="E57" s="53"/>
      <c r="F57" s="53"/>
      <c r="G57" s="53"/>
      <c r="H57" s="21">
        <v>0</v>
      </c>
      <c r="I57" s="64"/>
      <c r="L57" s="2"/>
    </row>
    <row r="58" spans="2:12" s="1" customFormat="1" x14ac:dyDescent="0.25">
      <c r="B58" s="54"/>
      <c r="C58" s="53" t="s">
        <v>55</v>
      </c>
      <c r="D58" s="53"/>
      <c r="E58" s="53"/>
      <c r="F58" s="53"/>
      <c r="G58" s="53"/>
      <c r="H58" s="21">
        <v>4</v>
      </c>
      <c r="I58" s="64"/>
      <c r="L58" s="2"/>
    </row>
    <row r="59" spans="2:12" s="1" customFormat="1" ht="35.25" customHeight="1" x14ac:dyDescent="0.25">
      <c r="B59" s="54"/>
      <c r="C59" s="53" t="s">
        <v>56</v>
      </c>
      <c r="D59" s="53"/>
      <c r="E59" s="53"/>
      <c r="F59" s="53"/>
      <c r="G59" s="53"/>
      <c r="H59" s="21">
        <v>8</v>
      </c>
      <c r="I59" s="64"/>
      <c r="L59" s="2"/>
    </row>
    <row r="60" spans="2:12" s="1" customFormat="1" x14ac:dyDescent="0.25">
      <c r="B60" s="54"/>
      <c r="C60" s="53" t="s">
        <v>57</v>
      </c>
      <c r="D60" s="53"/>
      <c r="E60" s="53"/>
      <c r="F60" s="53"/>
      <c r="G60" s="53"/>
      <c r="H60" s="22">
        <f>(H56+H57+H58)/H59</f>
        <v>0.75</v>
      </c>
      <c r="I60" s="64"/>
      <c r="L60" s="2"/>
    </row>
    <row r="61" spans="2:12" s="1" customFormat="1" ht="115.5" customHeight="1" x14ac:dyDescent="0.25">
      <c r="B61" s="54" t="s">
        <v>33</v>
      </c>
      <c r="C61" s="73" t="s">
        <v>58</v>
      </c>
      <c r="D61" s="74"/>
      <c r="E61" s="74"/>
      <c r="F61" s="74"/>
      <c r="G61" s="75"/>
      <c r="H61" s="23">
        <f>2+4*(H64)</f>
        <v>5</v>
      </c>
      <c r="I61" s="64"/>
      <c r="L61" s="2"/>
    </row>
    <row r="62" spans="2:12" s="1" customFormat="1" ht="83.25" customHeight="1" x14ac:dyDescent="0.25">
      <c r="B62" s="54"/>
      <c r="C62" s="53" t="s">
        <v>59</v>
      </c>
      <c r="D62" s="53"/>
      <c r="E62" s="53"/>
      <c r="F62" s="53"/>
      <c r="G62" s="53"/>
      <c r="H62" s="21">
        <v>6</v>
      </c>
      <c r="I62" s="64"/>
      <c r="L62" s="2"/>
    </row>
    <row r="63" spans="2:12" s="1" customFormat="1" ht="35.25" customHeight="1" x14ac:dyDescent="0.25">
      <c r="B63" s="54"/>
      <c r="C63" s="53" t="s">
        <v>50</v>
      </c>
      <c r="D63" s="53"/>
      <c r="E63" s="53"/>
      <c r="F63" s="53"/>
      <c r="G63" s="53"/>
      <c r="H63" s="21">
        <v>8</v>
      </c>
      <c r="I63" s="64"/>
      <c r="L63" s="2"/>
    </row>
    <row r="64" spans="2:12" s="1" customFormat="1" x14ac:dyDescent="0.25">
      <c r="B64" s="54"/>
      <c r="C64" s="53" t="s">
        <v>60</v>
      </c>
      <c r="D64" s="53"/>
      <c r="E64" s="53"/>
      <c r="F64" s="53"/>
      <c r="G64" s="53"/>
      <c r="H64" s="22">
        <f>H62/H63</f>
        <v>0.75</v>
      </c>
      <c r="I64" s="45"/>
      <c r="L64" s="2"/>
    </row>
    <row r="66" spans="2:12" s="1" customFormat="1" ht="32.1" customHeight="1" x14ac:dyDescent="0.25">
      <c r="B66" s="67" t="s">
        <v>61</v>
      </c>
      <c r="C66" s="68"/>
      <c r="D66" s="68"/>
      <c r="E66" s="68"/>
      <c r="F66" s="68"/>
      <c r="G66" s="68"/>
      <c r="H66" s="68"/>
      <c r="I66" s="50"/>
      <c r="L66" s="2"/>
    </row>
    <row r="67" spans="2:12" s="1" customFormat="1" ht="18.75" x14ac:dyDescent="0.25">
      <c r="B67" s="4" t="s">
        <v>7</v>
      </c>
      <c r="C67" s="69" t="s">
        <v>8</v>
      </c>
      <c r="D67" s="70"/>
      <c r="E67" s="70"/>
      <c r="F67" s="70"/>
      <c r="G67" s="71"/>
      <c r="H67" s="5" t="s">
        <v>9</v>
      </c>
      <c r="I67" s="5" t="s">
        <v>24</v>
      </c>
      <c r="L67" s="2"/>
    </row>
    <row r="68" spans="2:12" s="1" customFormat="1" ht="18.75" x14ac:dyDescent="0.25">
      <c r="B68" s="6">
        <v>5</v>
      </c>
      <c r="C68" s="72" t="s">
        <v>62</v>
      </c>
      <c r="D68" s="68"/>
      <c r="E68" s="68"/>
      <c r="F68" s="68"/>
      <c r="G68" s="50"/>
      <c r="H68" s="7"/>
      <c r="I68" s="8"/>
      <c r="L68" s="2"/>
    </row>
    <row r="69" spans="2:12" s="1" customFormat="1" ht="37.5" customHeight="1" x14ac:dyDescent="0.25">
      <c r="B69" s="61" t="s">
        <v>13</v>
      </c>
      <c r="C69" s="73" t="s">
        <v>63</v>
      </c>
      <c r="D69" s="74"/>
      <c r="E69" s="74"/>
      <c r="F69" s="74"/>
      <c r="G69" s="75"/>
      <c r="H69" s="10"/>
      <c r="I69" s="64"/>
      <c r="L69" s="2"/>
    </row>
    <row r="70" spans="2:12" s="1" customFormat="1" ht="84" customHeight="1" x14ac:dyDescent="0.25">
      <c r="B70" s="62"/>
      <c r="C70" s="65">
        <v>4</v>
      </c>
      <c r="D70" s="65"/>
      <c r="E70" s="65"/>
      <c r="F70" s="49" t="s">
        <v>64</v>
      </c>
      <c r="G70" s="50"/>
      <c r="H70" s="17"/>
      <c r="I70" s="64"/>
      <c r="L70" s="2"/>
    </row>
    <row r="71" spans="2:12" s="1" customFormat="1" ht="50.1" customHeight="1" x14ac:dyDescent="0.25">
      <c r="B71" s="62"/>
      <c r="C71" s="65">
        <v>3</v>
      </c>
      <c r="D71" s="65"/>
      <c r="E71" s="66"/>
      <c r="F71" s="49" t="s">
        <v>65</v>
      </c>
      <c r="G71" s="50"/>
      <c r="H71" s="11"/>
      <c r="I71" s="64"/>
      <c r="L71" s="2"/>
    </row>
    <row r="72" spans="2:12" s="1" customFormat="1" x14ac:dyDescent="0.25">
      <c r="B72" s="63"/>
      <c r="C72" s="65">
        <v>0</v>
      </c>
      <c r="D72" s="65"/>
      <c r="E72" s="66"/>
      <c r="F72" s="49" t="s">
        <v>29</v>
      </c>
      <c r="G72" s="50"/>
      <c r="H72" s="12"/>
      <c r="I72" s="64"/>
      <c r="L72" s="2"/>
    </row>
    <row r="73" spans="2:12" s="1" customFormat="1" ht="48" customHeight="1" x14ac:dyDescent="0.25">
      <c r="B73" s="61" t="s">
        <v>18</v>
      </c>
      <c r="C73" s="73" t="s">
        <v>66</v>
      </c>
      <c r="D73" s="74"/>
      <c r="E73" s="74"/>
      <c r="F73" s="74"/>
      <c r="G73" s="75"/>
      <c r="H73" s="10"/>
      <c r="I73" s="64"/>
      <c r="L73" s="2"/>
    </row>
    <row r="74" spans="2:12" s="1" customFormat="1" ht="65.099999999999994" customHeight="1" x14ac:dyDescent="0.25">
      <c r="B74" s="62"/>
      <c r="C74" s="65">
        <v>4</v>
      </c>
      <c r="D74" s="65"/>
      <c r="E74" s="66"/>
      <c r="F74" s="49" t="s">
        <v>67</v>
      </c>
      <c r="G74" s="50"/>
      <c r="H74" s="11"/>
      <c r="I74" s="64"/>
      <c r="L74" s="2"/>
    </row>
    <row r="75" spans="2:12" s="1" customFormat="1" ht="65.099999999999994" customHeight="1" x14ac:dyDescent="0.25">
      <c r="B75" s="62"/>
      <c r="C75" s="65">
        <v>3</v>
      </c>
      <c r="D75" s="65"/>
      <c r="E75" s="66"/>
      <c r="F75" s="49" t="s">
        <v>68</v>
      </c>
      <c r="G75" s="50"/>
      <c r="H75" s="11"/>
      <c r="I75" s="64"/>
      <c r="L75" s="2"/>
    </row>
    <row r="76" spans="2:12" s="1" customFormat="1" x14ac:dyDescent="0.25">
      <c r="B76" s="63"/>
      <c r="C76" s="65">
        <v>0</v>
      </c>
      <c r="D76" s="65"/>
      <c r="E76" s="66"/>
      <c r="F76" s="49" t="s">
        <v>29</v>
      </c>
      <c r="G76" s="50"/>
      <c r="H76" s="12"/>
      <c r="I76" s="64"/>
      <c r="L76" s="2"/>
    </row>
    <row r="78" spans="2:12" s="1" customFormat="1" ht="32.1" customHeight="1" x14ac:dyDescent="0.25">
      <c r="B78" s="67" t="s">
        <v>69</v>
      </c>
      <c r="C78" s="68"/>
      <c r="D78" s="68"/>
      <c r="E78" s="68"/>
      <c r="F78" s="68"/>
      <c r="G78" s="68"/>
      <c r="H78" s="68"/>
      <c r="I78" s="50"/>
    </row>
    <row r="79" spans="2:12" s="1" customFormat="1" ht="18.75" x14ac:dyDescent="0.25">
      <c r="B79" s="4" t="s">
        <v>7</v>
      </c>
      <c r="C79" s="69" t="s">
        <v>8</v>
      </c>
      <c r="D79" s="70"/>
      <c r="E79" s="70"/>
      <c r="F79" s="70"/>
      <c r="G79" s="71"/>
      <c r="H79" s="5" t="s">
        <v>9</v>
      </c>
      <c r="I79" s="5" t="s">
        <v>24</v>
      </c>
    </row>
    <row r="80" spans="2:12" s="1" customFormat="1" ht="18.75" x14ac:dyDescent="0.25">
      <c r="B80" s="6">
        <v>6</v>
      </c>
      <c r="C80" s="72" t="s">
        <v>70</v>
      </c>
      <c r="D80" s="68"/>
      <c r="E80" s="68"/>
      <c r="F80" s="68"/>
      <c r="G80" s="50"/>
      <c r="H80" s="7"/>
      <c r="I80" s="8"/>
    </row>
    <row r="81" spans="2:12" ht="18.75" x14ac:dyDescent="0.25">
      <c r="B81" s="61" t="s">
        <v>13</v>
      </c>
      <c r="C81" s="73" t="s">
        <v>71</v>
      </c>
      <c r="D81" s="74"/>
      <c r="E81" s="74"/>
      <c r="F81" s="74"/>
      <c r="G81" s="75"/>
      <c r="H81" s="10"/>
      <c r="I81" s="64"/>
    </row>
    <row r="82" spans="2:12" ht="33.75" customHeight="1" x14ac:dyDescent="0.25">
      <c r="B82" s="62"/>
      <c r="C82" s="65">
        <v>4</v>
      </c>
      <c r="D82" s="65"/>
      <c r="E82" s="65"/>
      <c r="F82" s="49" t="s">
        <v>72</v>
      </c>
      <c r="G82" s="50"/>
      <c r="H82" s="17"/>
      <c r="I82" s="64"/>
    </row>
    <row r="83" spans="2:12" ht="36" customHeight="1" x14ac:dyDescent="0.25">
      <c r="B83" s="62"/>
      <c r="C83" s="65">
        <v>3</v>
      </c>
      <c r="D83" s="65"/>
      <c r="E83" s="66"/>
      <c r="F83" s="49" t="s">
        <v>73</v>
      </c>
      <c r="G83" s="50"/>
      <c r="H83" s="11"/>
      <c r="I83" s="64"/>
    </row>
    <row r="84" spans="2:12" x14ac:dyDescent="0.25">
      <c r="B84" s="63"/>
      <c r="C84" s="65">
        <v>0</v>
      </c>
      <c r="D84" s="65"/>
      <c r="E84" s="66"/>
      <c r="F84" s="49" t="s">
        <v>74</v>
      </c>
      <c r="G84" s="50"/>
      <c r="H84" s="12"/>
      <c r="I84" s="64"/>
    </row>
    <row r="85" spans="2:12" ht="18.75" x14ac:dyDescent="0.25">
      <c r="B85" s="61" t="s">
        <v>18</v>
      </c>
      <c r="C85" s="73" t="s">
        <v>75</v>
      </c>
      <c r="D85" s="74"/>
      <c r="E85" s="74"/>
      <c r="F85" s="74"/>
      <c r="G85" s="75"/>
      <c r="H85" s="10"/>
      <c r="I85" s="64"/>
    </row>
    <row r="86" spans="2:12" ht="63.95" customHeight="1" x14ac:dyDescent="0.25">
      <c r="B86" s="62"/>
      <c r="C86" s="65">
        <v>4</v>
      </c>
      <c r="D86" s="65"/>
      <c r="E86" s="66"/>
      <c r="F86" s="49" t="s">
        <v>76</v>
      </c>
      <c r="G86" s="50"/>
      <c r="H86" s="11"/>
      <c r="I86" s="64"/>
    </row>
    <row r="87" spans="2:12" ht="51.95" customHeight="1" x14ac:dyDescent="0.25">
      <c r="B87" s="62"/>
      <c r="C87" s="65">
        <v>3</v>
      </c>
      <c r="D87" s="65"/>
      <c r="E87" s="66"/>
      <c r="F87" s="49" t="s">
        <v>77</v>
      </c>
      <c r="G87" s="50"/>
      <c r="H87" s="11"/>
      <c r="I87" s="64"/>
    </row>
    <row r="88" spans="2:12" ht="47.1" customHeight="1" x14ac:dyDescent="0.25">
      <c r="B88" s="63"/>
      <c r="C88" s="65">
        <v>0</v>
      </c>
      <c r="D88" s="65"/>
      <c r="E88" s="66"/>
      <c r="F88" s="49" t="s">
        <v>78</v>
      </c>
      <c r="G88" s="50"/>
      <c r="H88" s="12"/>
      <c r="I88" s="64"/>
    </row>
    <row r="90" spans="2:12" s="1" customFormat="1" ht="32.1" customHeight="1" x14ac:dyDescent="0.25">
      <c r="B90" s="67" t="s">
        <v>79</v>
      </c>
      <c r="C90" s="68"/>
      <c r="D90" s="68"/>
      <c r="E90" s="68"/>
      <c r="F90" s="68"/>
      <c r="G90" s="68"/>
      <c r="H90" s="68"/>
      <c r="I90" s="50"/>
    </row>
    <row r="91" spans="2:12" s="1" customFormat="1" ht="18.75" x14ac:dyDescent="0.25">
      <c r="B91" s="4" t="s">
        <v>7</v>
      </c>
      <c r="C91" s="69" t="s">
        <v>8</v>
      </c>
      <c r="D91" s="70"/>
      <c r="E91" s="70"/>
      <c r="F91" s="70"/>
      <c r="G91" s="71"/>
      <c r="H91" s="5" t="s">
        <v>9</v>
      </c>
      <c r="I91" s="5" t="s">
        <v>24</v>
      </c>
    </row>
    <row r="92" spans="2:12" s="1" customFormat="1" ht="18.75" x14ac:dyDescent="0.25">
      <c r="B92" s="6">
        <v>7</v>
      </c>
      <c r="C92" s="72" t="s">
        <v>80</v>
      </c>
      <c r="D92" s="68"/>
      <c r="E92" s="68"/>
      <c r="F92" s="68"/>
      <c r="G92" s="50"/>
      <c r="H92" s="7"/>
      <c r="I92" s="8"/>
    </row>
    <row r="93" spans="2:12" s="1" customFormat="1" ht="18.75" x14ac:dyDescent="0.25">
      <c r="B93" s="61" t="s">
        <v>13</v>
      </c>
      <c r="C93" s="58" t="s">
        <v>81</v>
      </c>
      <c r="D93" s="59"/>
      <c r="E93" s="59"/>
      <c r="F93" s="59"/>
      <c r="G93" s="60"/>
      <c r="H93" s="10"/>
      <c r="I93" s="64"/>
    </row>
    <row r="94" spans="2:12" s="1" customFormat="1" ht="52.5" customHeight="1" x14ac:dyDescent="0.25">
      <c r="B94" s="62"/>
      <c r="C94" s="65">
        <v>4</v>
      </c>
      <c r="D94" s="65"/>
      <c r="E94" s="65"/>
      <c r="F94" s="49" t="s">
        <v>82</v>
      </c>
      <c r="G94" s="50"/>
      <c r="H94" s="17"/>
      <c r="I94" s="64"/>
    </row>
    <row r="95" spans="2:12" s="1" customFormat="1" ht="50.25" customHeight="1" x14ac:dyDescent="0.25">
      <c r="B95" s="62"/>
      <c r="C95" s="65">
        <v>3</v>
      </c>
      <c r="D95" s="65"/>
      <c r="E95" s="65"/>
      <c r="F95" s="49" t="s">
        <v>83</v>
      </c>
      <c r="G95" s="50"/>
      <c r="H95" s="17"/>
      <c r="I95" s="64"/>
      <c r="L95" s="2"/>
    </row>
    <row r="96" spans="2:12" s="1" customFormat="1" x14ac:dyDescent="0.25">
      <c r="B96" s="63"/>
      <c r="C96" s="65">
        <v>0</v>
      </c>
      <c r="D96" s="65"/>
      <c r="E96" s="65"/>
      <c r="F96" s="49" t="s">
        <v>29</v>
      </c>
      <c r="G96" s="50"/>
      <c r="H96" s="18"/>
      <c r="I96" s="64"/>
      <c r="L96" s="2"/>
    </row>
    <row r="97" spans="2:12" s="1" customFormat="1" ht="34.5" customHeight="1" x14ac:dyDescent="0.25">
      <c r="B97" s="61" t="s">
        <v>18</v>
      </c>
      <c r="C97" s="58" t="s">
        <v>84</v>
      </c>
      <c r="D97" s="59"/>
      <c r="E97" s="59"/>
      <c r="F97" s="59"/>
      <c r="G97" s="60"/>
      <c r="H97" s="10"/>
      <c r="I97" s="64"/>
      <c r="L97" s="2"/>
    </row>
    <row r="98" spans="2:12" s="1" customFormat="1" ht="48" customHeight="1" x14ac:dyDescent="0.25">
      <c r="B98" s="62"/>
      <c r="C98" s="65">
        <v>4</v>
      </c>
      <c r="D98" s="65"/>
      <c r="E98" s="66"/>
      <c r="F98" s="49" t="s">
        <v>85</v>
      </c>
      <c r="G98" s="50"/>
      <c r="H98" s="11"/>
      <c r="I98" s="64"/>
      <c r="L98" s="2"/>
    </row>
    <row r="99" spans="2:12" s="1" customFormat="1" ht="37.5" customHeight="1" x14ac:dyDescent="0.25">
      <c r="B99" s="62"/>
      <c r="C99" s="65">
        <v>3</v>
      </c>
      <c r="D99" s="65"/>
      <c r="E99" s="66"/>
      <c r="F99" s="49" t="s">
        <v>86</v>
      </c>
      <c r="G99" s="50"/>
      <c r="H99" s="11"/>
      <c r="I99" s="64"/>
      <c r="L99" s="2"/>
    </row>
    <row r="100" spans="2:12" s="1" customFormat="1" x14ac:dyDescent="0.25">
      <c r="B100" s="63"/>
      <c r="C100" s="65">
        <v>0</v>
      </c>
      <c r="D100" s="65"/>
      <c r="E100" s="66"/>
      <c r="F100" s="49" t="s">
        <v>29</v>
      </c>
      <c r="G100" s="50"/>
      <c r="H100" s="12"/>
      <c r="I100" s="64"/>
      <c r="L100" s="2"/>
    </row>
    <row r="101" spans="2:12" s="1" customFormat="1" ht="18.75" customHeight="1" x14ac:dyDescent="0.25">
      <c r="B101" s="61" t="s">
        <v>33</v>
      </c>
      <c r="C101" s="58" t="s">
        <v>87</v>
      </c>
      <c r="D101" s="59"/>
      <c r="E101" s="59"/>
      <c r="F101" s="59"/>
      <c r="G101" s="60"/>
      <c r="H101" s="10"/>
      <c r="I101" s="64"/>
    </row>
    <row r="102" spans="2:12" s="1" customFormat="1" ht="48" customHeight="1" x14ac:dyDescent="0.25">
      <c r="B102" s="62"/>
      <c r="C102" s="65">
        <v>4</v>
      </c>
      <c r="D102" s="65"/>
      <c r="E102" s="65"/>
      <c r="F102" s="49" t="s">
        <v>88</v>
      </c>
      <c r="G102" s="50"/>
      <c r="H102" s="17"/>
      <c r="I102" s="64"/>
    </row>
    <row r="103" spans="2:12" s="1" customFormat="1" ht="50.25" customHeight="1" x14ac:dyDescent="0.25">
      <c r="B103" s="62"/>
      <c r="C103" s="65">
        <v>3</v>
      </c>
      <c r="D103" s="65"/>
      <c r="E103" s="65"/>
      <c r="F103" s="49" t="s">
        <v>89</v>
      </c>
      <c r="G103" s="50"/>
      <c r="H103" s="17"/>
      <c r="I103" s="64"/>
      <c r="L103" s="2"/>
    </row>
    <row r="104" spans="2:12" s="1" customFormat="1" x14ac:dyDescent="0.25">
      <c r="B104" s="63"/>
      <c r="C104" s="65">
        <v>0</v>
      </c>
      <c r="D104" s="65"/>
      <c r="E104" s="65"/>
      <c r="F104" s="49" t="s">
        <v>29</v>
      </c>
      <c r="G104" s="50"/>
      <c r="H104" s="18"/>
      <c r="I104" s="64"/>
      <c r="L104" s="2"/>
    </row>
    <row r="105" spans="2:12" s="1" customFormat="1" ht="34.5" customHeight="1" x14ac:dyDescent="0.25">
      <c r="B105" s="61" t="s">
        <v>18</v>
      </c>
      <c r="C105" s="58" t="s">
        <v>90</v>
      </c>
      <c r="D105" s="59"/>
      <c r="E105" s="59"/>
      <c r="F105" s="59"/>
      <c r="G105" s="60"/>
      <c r="H105" s="10"/>
      <c r="I105" s="64"/>
      <c r="L105" s="2"/>
    </row>
    <row r="106" spans="2:12" s="1" customFormat="1" ht="48" customHeight="1" x14ac:dyDescent="0.25">
      <c r="B106" s="62"/>
      <c r="C106" s="65">
        <v>4</v>
      </c>
      <c r="D106" s="65"/>
      <c r="E106" s="66"/>
      <c r="F106" s="49" t="s">
        <v>91</v>
      </c>
      <c r="G106" s="50"/>
      <c r="H106" s="11"/>
      <c r="I106" s="64"/>
      <c r="L106" s="2"/>
    </row>
    <row r="107" spans="2:12" s="1" customFormat="1" ht="37.5" customHeight="1" x14ac:dyDescent="0.25">
      <c r="B107" s="62"/>
      <c r="C107" s="65">
        <v>3</v>
      </c>
      <c r="D107" s="65"/>
      <c r="E107" s="66"/>
      <c r="F107" s="49" t="s">
        <v>92</v>
      </c>
      <c r="G107" s="50"/>
      <c r="H107" s="11"/>
      <c r="I107" s="64"/>
      <c r="L107" s="2"/>
    </row>
    <row r="108" spans="2:12" s="1" customFormat="1" x14ac:dyDescent="0.25">
      <c r="B108" s="63"/>
      <c r="C108" s="65">
        <v>0</v>
      </c>
      <c r="D108" s="65"/>
      <c r="E108" s="66"/>
      <c r="F108" s="49" t="s">
        <v>29</v>
      </c>
      <c r="G108" s="50"/>
      <c r="H108" s="12"/>
      <c r="I108" s="64"/>
      <c r="L108" s="2"/>
    </row>
    <row r="110" spans="2:12" s="1" customFormat="1" ht="32.1" customHeight="1" x14ac:dyDescent="0.25">
      <c r="B110" s="67" t="s">
        <v>93</v>
      </c>
      <c r="C110" s="68"/>
      <c r="D110" s="68"/>
      <c r="E110" s="68"/>
      <c r="F110" s="68"/>
      <c r="G110" s="68"/>
      <c r="H110" s="68"/>
      <c r="I110" s="50"/>
    </row>
    <row r="111" spans="2:12" s="1" customFormat="1" ht="18.75" x14ac:dyDescent="0.25">
      <c r="B111" s="4" t="s">
        <v>7</v>
      </c>
      <c r="C111" s="69" t="s">
        <v>8</v>
      </c>
      <c r="D111" s="70"/>
      <c r="E111" s="70"/>
      <c r="F111" s="70"/>
      <c r="G111" s="71"/>
      <c r="H111" s="5" t="s">
        <v>9</v>
      </c>
      <c r="I111" s="5" t="s">
        <v>24</v>
      </c>
    </row>
    <row r="112" spans="2:12" s="1" customFormat="1" ht="18.75" x14ac:dyDescent="0.25">
      <c r="B112" s="6">
        <v>8</v>
      </c>
      <c r="C112" s="72" t="s">
        <v>94</v>
      </c>
      <c r="D112" s="68"/>
      <c r="E112" s="68"/>
      <c r="F112" s="68"/>
      <c r="G112" s="50"/>
      <c r="H112" s="7"/>
      <c r="I112" s="8"/>
    </row>
    <row r="113" spans="2:12" s="1" customFormat="1" ht="18.75" x14ac:dyDescent="0.25">
      <c r="B113" s="61" t="s">
        <v>13</v>
      </c>
      <c r="C113" s="58" t="s">
        <v>95</v>
      </c>
      <c r="D113" s="59"/>
      <c r="E113" s="59"/>
      <c r="F113" s="59"/>
      <c r="G113" s="60"/>
      <c r="H113" s="10"/>
      <c r="I113" s="64"/>
    </row>
    <row r="114" spans="2:12" s="1" customFormat="1" x14ac:dyDescent="0.25">
      <c r="B114" s="62"/>
      <c r="C114" s="65">
        <v>4</v>
      </c>
      <c r="D114" s="65"/>
      <c r="E114" s="65"/>
      <c r="F114" s="49" t="s">
        <v>96</v>
      </c>
      <c r="G114" s="50"/>
      <c r="H114" s="17"/>
      <c r="I114" s="64"/>
    </row>
    <row r="115" spans="2:12" s="1" customFormat="1" x14ac:dyDescent="0.25">
      <c r="B115" s="62"/>
      <c r="C115" s="65">
        <v>3</v>
      </c>
      <c r="D115" s="65"/>
      <c r="E115" s="65"/>
      <c r="F115" s="49" t="s">
        <v>97</v>
      </c>
      <c r="G115" s="50"/>
      <c r="H115" s="17"/>
      <c r="I115" s="64"/>
      <c r="L115" s="2"/>
    </row>
    <row r="116" spans="2:12" s="1" customFormat="1" x14ac:dyDescent="0.25">
      <c r="B116" s="63"/>
      <c r="C116" s="65">
        <v>0</v>
      </c>
      <c r="D116" s="65"/>
      <c r="E116" s="65"/>
      <c r="F116" s="76" t="s">
        <v>29</v>
      </c>
      <c r="G116" s="77"/>
      <c r="H116" s="18"/>
      <c r="I116" s="64"/>
      <c r="L116" s="2"/>
    </row>
    <row r="117" spans="2:12" s="1" customFormat="1" ht="18.75" x14ac:dyDescent="0.25">
      <c r="B117" s="61" t="s">
        <v>18</v>
      </c>
      <c r="C117" s="58" t="s">
        <v>98</v>
      </c>
      <c r="D117" s="59"/>
      <c r="E117" s="59"/>
      <c r="F117" s="59"/>
      <c r="G117" s="60"/>
      <c r="H117" s="10"/>
      <c r="I117" s="64"/>
      <c r="L117" s="2"/>
    </row>
    <row r="118" spans="2:12" s="1" customFormat="1" x14ac:dyDescent="0.25">
      <c r="B118" s="62"/>
      <c r="C118" s="65">
        <v>4</v>
      </c>
      <c r="D118" s="65"/>
      <c r="E118" s="66"/>
      <c r="F118" s="49" t="s">
        <v>99</v>
      </c>
      <c r="G118" s="50"/>
      <c r="H118" s="11"/>
      <c r="I118" s="64"/>
      <c r="L118" s="2"/>
    </row>
    <row r="119" spans="2:12" s="1" customFormat="1" x14ac:dyDescent="0.25">
      <c r="B119" s="62"/>
      <c r="C119" s="65">
        <v>3</v>
      </c>
      <c r="D119" s="65"/>
      <c r="E119" s="66"/>
      <c r="F119" s="49" t="s">
        <v>100</v>
      </c>
      <c r="G119" s="50"/>
      <c r="H119" s="11"/>
      <c r="I119" s="64"/>
      <c r="L119" s="2"/>
    </row>
    <row r="120" spans="2:12" s="1" customFormat="1" x14ac:dyDescent="0.25">
      <c r="B120" s="63"/>
      <c r="C120" s="65">
        <v>0</v>
      </c>
      <c r="D120" s="65"/>
      <c r="E120" s="66"/>
      <c r="F120" s="49" t="s">
        <v>29</v>
      </c>
      <c r="G120" s="50"/>
      <c r="H120" s="12"/>
      <c r="I120" s="64"/>
      <c r="L120" s="2"/>
    </row>
    <row r="121" spans="2:12" ht="36" customHeight="1" x14ac:dyDescent="0.25">
      <c r="B121" s="54" t="s">
        <v>33</v>
      </c>
      <c r="C121" s="58" t="s">
        <v>101</v>
      </c>
      <c r="D121" s="59"/>
      <c r="E121" s="59"/>
      <c r="F121" s="59"/>
      <c r="G121" s="60"/>
      <c r="H121" s="19">
        <f>2+(2*H127)</f>
        <v>8.5</v>
      </c>
      <c r="I121" s="55"/>
    </row>
    <row r="122" spans="2:12" s="1" customFormat="1" ht="36.75" customHeight="1" x14ac:dyDescent="0.25">
      <c r="B122" s="54"/>
      <c r="C122" s="53" t="s">
        <v>158</v>
      </c>
      <c r="D122" s="53"/>
      <c r="E122" s="53"/>
      <c r="F122" s="53"/>
      <c r="G122" s="53"/>
      <c r="H122" s="21">
        <v>0</v>
      </c>
      <c r="I122" s="56"/>
      <c r="L122" s="2"/>
    </row>
    <row r="123" spans="2:12" s="1" customFormat="1" ht="54" customHeight="1" x14ac:dyDescent="0.25">
      <c r="B123" s="54"/>
      <c r="C123" s="53" t="s">
        <v>102</v>
      </c>
      <c r="D123" s="53"/>
      <c r="E123" s="53"/>
      <c r="F123" s="53"/>
      <c r="G123" s="53"/>
      <c r="H123" s="21">
        <v>6</v>
      </c>
      <c r="I123" s="56"/>
      <c r="L123" s="2"/>
    </row>
    <row r="124" spans="2:12" s="1" customFormat="1" ht="34.5" customHeight="1" x14ac:dyDescent="0.25">
      <c r="B124" s="54"/>
      <c r="C124" s="53" t="s">
        <v>103</v>
      </c>
      <c r="D124" s="53"/>
      <c r="E124" s="53"/>
      <c r="F124" s="53"/>
      <c r="G124" s="53"/>
      <c r="H124" s="21">
        <v>0</v>
      </c>
      <c r="I124" s="56"/>
      <c r="L124" s="2"/>
    </row>
    <row r="125" spans="2:12" s="1" customFormat="1" ht="34.5" customHeight="1" x14ac:dyDescent="0.25">
      <c r="B125" s="54"/>
      <c r="C125" s="53" t="s">
        <v>104</v>
      </c>
      <c r="D125" s="53"/>
      <c r="E125" s="53"/>
      <c r="F125" s="53"/>
      <c r="G125" s="53"/>
      <c r="H125" s="21">
        <v>7</v>
      </c>
      <c r="I125" s="56"/>
      <c r="L125" s="2"/>
    </row>
    <row r="126" spans="2:12" s="1" customFormat="1" ht="35.25" customHeight="1" x14ac:dyDescent="0.25">
      <c r="B126" s="54"/>
      <c r="C126" s="53" t="s">
        <v>105</v>
      </c>
      <c r="D126" s="53"/>
      <c r="E126" s="53"/>
      <c r="F126" s="53"/>
      <c r="G126" s="53"/>
      <c r="H126" s="21">
        <v>8</v>
      </c>
      <c r="I126" s="56"/>
      <c r="L126" s="2"/>
    </row>
    <row r="127" spans="2:12" s="1" customFormat="1" x14ac:dyDescent="0.25">
      <c r="B127" s="54"/>
      <c r="C127" s="53" t="s">
        <v>106</v>
      </c>
      <c r="D127" s="53"/>
      <c r="E127" s="53"/>
      <c r="F127" s="53"/>
      <c r="G127" s="53"/>
      <c r="H127" s="24">
        <f>2*(H122+H123+H124+H125)/H126</f>
        <v>3.25</v>
      </c>
      <c r="I127" s="57"/>
      <c r="L127" s="2"/>
    </row>
    <row r="130" spans="8:8" x14ac:dyDescent="0.25">
      <c r="H130" s="44"/>
    </row>
  </sheetData>
  <mergeCells count="202">
    <mergeCell ref="B16:B19"/>
    <mergeCell ref="C16:G16"/>
    <mergeCell ref="B2:I2"/>
    <mergeCell ref="B7:I7"/>
    <mergeCell ref="B9:I9"/>
    <mergeCell ref="C10:G10"/>
    <mergeCell ref="C11:G11"/>
    <mergeCell ref="B12:B15"/>
    <mergeCell ref="C12:G12"/>
    <mergeCell ref="I12:I15"/>
    <mergeCell ref="C13:E13"/>
    <mergeCell ref="F13:G13"/>
    <mergeCell ref="I16:I19"/>
    <mergeCell ref="C17:E17"/>
    <mergeCell ref="F17:G17"/>
    <mergeCell ref="C18:E18"/>
    <mergeCell ref="F18:G18"/>
    <mergeCell ref="C19:E19"/>
    <mergeCell ref="F19:G19"/>
    <mergeCell ref="C14:E14"/>
    <mergeCell ref="F14:G14"/>
    <mergeCell ref="C15:E15"/>
    <mergeCell ref="F15:G15"/>
    <mergeCell ref="G8:I8"/>
    <mergeCell ref="B21:I21"/>
    <mergeCell ref="C22:G22"/>
    <mergeCell ref="C23:G23"/>
    <mergeCell ref="B24:B27"/>
    <mergeCell ref="C24:G24"/>
    <mergeCell ref="I24:I27"/>
    <mergeCell ref="C25:E25"/>
    <mergeCell ref="F25:G25"/>
    <mergeCell ref="C26:E26"/>
    <mergeCell ref="F26:G26"/>
    <mergeCell ref="C27:E27"/>
    <mergeCell ref="F27:G27"/>
    <mergeCell ref="C38:G38"/>
    <mergeCell ref="C39:G39"/>
    <mergeCell ref="B40:B46"/>
    <mergeCell ref="C40:G40"/>
    <mergeCell ref="I40:I46"/>
    <mergeCell ref="F31:G31"/>
    <mergeCell ref="B32:B35"/>
    <mergeCell ref="C32:G32"/>
    <mergeCell ref="I32:I35"/>
    <mergeCell ref="C33:E33"/>
    <mergeCell ref="F33:G33"/>
    <mergeCell ref="C34:E34"/>
    <mergeCell ref="F34:G34"/>
    <mergeCell ref="C35:E35"/>
    <mergeCell ref="F35:G35"/>
    <mergeCell ref="B28:B31"/>
    <mergeCell ref="C28:G28"/>
    <mergeCell ref="I28:I31"/>
    <mergeCell ref="C29:E29"/>
    <mergeCell ref="F29:G29"/>
    <mergeCell ref="C30:E30"/>
    <mergeCell ref="F30:G30"/>
    <mergeCell ref="C31:E31"/>
    <mergeCell ref="B37:I37"/>
    <mergeCell ref="B55:B60"/>
    <mergeCell ref="C55:G55"/>
    <mergeCell ref="I55:I60"/>
    <mergeCell ref="B48:I48"/>
    <mergeCell ref="C49:G49"/>
    <mergeCell ref="C50:G50"/>
    <mergeCell ref="B51:B54"/>
    <mergeCell ref="C51:G51"/>
    <mergeCell ref="I51:I54"/>
    <mergeCell ref="C56:G56"/>
    <mergeCell ref="C57:G57"/>
    <mergeCell ref="C58:G58"/>
    <mergeCell ref="C59:G59"/>
    <mergeCell ref="C60:G60"/>
    <mergeCell ref="B73:B76"/>
    <mergeCell ref="C73:G73"/>
    <mergeCell ref="B66:I66"/>
    <mergeCell ref="C67:G67"/>
    <mergeCell ref="C68:G68"/>
    <mergeCell ref="B69:B72"/>
    <mergeCell ref="C69:G69"/>
    <mergeCell ref="I69:I72"/>
    <mergeCell ref="C70:E70"/>
    <mergeCell ref="F70:G70"/>
    <mergeCell ref="F84:G84"/>
    <mergeCell ref="I73:I76"/>
    <mergeCell ref="C74:E74"/>
    <mergeCell ref="F74:G74"/>
    <mergeCell ref="C75:E75"/>
    <mergeCell ref="F75:G75"/>
    <mergeCell ref="C76:E76"/>
    <mergeCell ref="F76:G76"/>
    <mergeCell ref="C71:E71"/>
    <mergeCell ref="F71:G71"/>
    <mergeCell ref="C72:E72"/>
    <mergeCell ref="F72:G72"/>
    <mergeCell ref="C115:E115"/>
    <mergeCell ref="F115:G115"/>
    <mergeCell ref="C116:E116"/>
    <mergeCell ref="F116:G116"/>
    <mergeCell ref="B117:B120"/>
    <mergeCell ref="C117:G117"/>
    <mergeCell ref="C100:E100"/>
    <mergeCell ref="F100:G100"/>
    <mergeCell ref="B110:I110"/>
    <mergeCell ref="C111:G111"/>
    <mergeCell ref="C112:G112"/>
    <mergeCell ref="B113:B116"/>
    <mergeCell ref="C113:G113"/>
    <mergeCell ref="I113:I116"/>
    <mergeCell ref="C114:E114"/>
    <mergeCell ref="F114:G114"/>
    <mergeCell ref="B97:B100"/>
    <mergeCell ref="C97:G97"/>
    <mergeCell ref="I97:I100"/>
    <mergeCell ref="C98:E98"/>
    <mergeCell ref="F98:G98"/>
    <mergeCell ref="C99:E99"/>
    <mergeCell ref="F99:G99"/>
    <mergeCell ref="C120:E120"/>
    <mergeCell ref="C61:G61"/>
    <mergeCell ref="C41:G41"/>
    <mergeCell ref="C42:G42"/>
    <mergeCell ref="C46:G46"/>
    <mergeCell ref="C43:G43"/>
    <mergeCell ref="C44:G44"/>
    <mergeCell ref="C45:G45"/>
    <mergeCell ref="C52:G52"/>
    <mergeCell ref="C53:G53"/>
    <mergeCell ref="C54:G54"/>
    <mergeCell ref="C64:G64"/>
    <mergeCell ref="B61:B64"/>
    <mergeCell ref="B85:B88"/>
    <mergeCell ref="C85:G85"/>
    <mergeCell ref="I85:I88"/>
    <mergeCell ref="C86:E86"/>
    <mergeCell ref="F86:G86"/>
    <mergeCell ref="C87:E87"/>
    <mergeCell ref="F87:G87"/>
    <mergeCell ref="C88:E88"/>
    <mergeCell ref="I61:I63"/>
    <mergeCell ref="C62:G62"/>
    <mergeCell ref="C63:G63"/>
    <mergeCell ref="B78:I78"/>
    <mergeCell ref="C79:G79"/>
    <mergeCell ref="C80:G80"/>
    <mergeCell ref="B81:B84"/>
    <mergeCell ref="C81:G81"/>
    <mergeCell ref="I81:I84"/>
    <mergeCell ref="C82:E82"/>
    <mergeCell ref="F82:G82"/>
    <mergeCell ref="C83:E83"/>
    <mergeCell ref="F83:G83"/>
    <mergeCell ref="C84:E84"/>
    <mergeCell ref="F118:G118"/>
    <mergeCell ref="C119:E119"/>
    <mergeCell ref="F88:G88"/>
    <mergeCell ref="B101:B104"/>
    <mergeCell ref="C101:G101"/>
    <mergeCell ref="I101:I104"/>
    <mergeCell ref="C102:E102"/>
    <mergeCell ref="F102:G102"/>
    <mergeCell ref="C103:E103"/>
    <mergeCell ref="F103:G103"/>
    <mergeCell ref="C104:E104"/>
    <mergeCell ref="F104:G104"/>
    <mergeCell ref="F95:G95"/>
    <mergeCell ref="C96:E96"/>
    <mergeCell ref="F96:G96"/>
    <mergeCell ref="B90:I90"/>
    <mergeCell ref="C91:G91"/>
    <mergeCell ref="C92:G92"/>
    <mergeCell ref="B93:B96"/>
    <mergeCell ref="C93:G93"/>
    <mergeCell ref="I93:I96"/>
    <mergeCell ref="C94:E94"/>
    <mergeCell ref="F94:G94"/>
    <mergeCell ref="C95:E95"/>
    <mergeCell ref="F119:G119"/>
    <mergeCell ref="B3:I3"/>
    <mergeCell ref="B4:F6"/>
    <mergeCell ref="F120:G120"/>
    <mergeCell ref="C127:G127"/>
    <mergeCell ref="B121:B127"/>
    <mergeCell ref="I121:I127"/>
    <mergeCell ref="C125:G125"/>
    <mergeCell ref="C121:G121"/>
    <mergeCell ref="C122:G122"/>
    <mergeCell ref="B105:B108"/>
    <mergeCell ref="C105:G105"/>
    <mergeCell ref="I105:I108"/>
    <mergeCell ref="C106:E106"/>
    <mergeCell ref="F106:G106"/>
    <mergeCell ref="C107:E107"/>
    <mergeCell ref="F107:G107"/>
    <mergeCell ref="C108:E108"/>
    <mergeCell ref="F108:G108"/>
    <mergeCell ref="C123:G123"/>
    <mergeCell ref="C124:G124"/>
    <mergeCell ref="C126:G126"/>
    <mergeCell ref="I117:I120"/>
    <mergeCell ref="C118:E118"/>
  </mergeCells>
  <hyperlinks>
    <hyperlink ref="G5" r:id="rId1" xr:uid="{00000000-0004-0000-00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Sheet2!$B$2:$B$3</xm:f>
          </x14:formula1>
          <xm:sqref>G8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topLeftCell="A31" zoomScale="60" zoomScaleNormal="60" zoomScalePageLayoutView="80" workbookViewId="0">
      <selection activeCell="E34" sqref="E34:I35"/>
    </sheetView>
  </sheetViews>
  <sheetFormatPr defaultRowHeight="15" x14ac:dyDescent="0.25"/>
  <cols>
    <col min="1" max="1" width="3.85546875" bestFit="1" customWidth="1"/>
    <col min="2" max="2" width="14.140625" customWidth="1"/>
    <col min="3" max="3" width="10.7109375" customWidth="1"/>
    <col min="5" max="5" width="15.7109375" customWidth="1"/>
    <col min="6" max="6" width="20.140625" customWidth="1"/>
    <col min="7" max="7" width="6.7109375" customWidth="1"/>
    <col min="8" max="9" width="7.7109375" customWidth="1"/>
  </cols>
  <sheetData>
    <row r="1" spans="1:9" ht="15.75" thickBot="1" x14ac:dyDescent="0.3">
      <c r="I1" s="25" t="s">
        <v>107</v>
      </c>
    </row>
    <row r="2" spans="1:9" ht="15.75" customHeight="1" x14ac:dyDescent="0.25">
      <c r="A2" s="94"/>
      <c r="B2" s="95"/>
      <c r="C2" s="100" t="s">
        <v>108</v>
      </c>
      <c r="D2" s="100"/>
      <c r="E2" s="100"/>
      <c r="F2" s="100"/>
      <c r="G2" s="100"/>
      <c r="H2" s="26"/>
      <c r="I2" s="27"/>
    </row>
    <row r="3" spans="1:9" ht="15.75" customHeight="1" x14ac:dyDescent="0.25">
      <c r="A3" s="96"/>
      <c r="B3" s="97"/>
      <c r="C3" s="101"/>
      <c r="D3" s="101"/>
      <c r="E3" s="101"/>
      <c r="F3" s="101"/>
      <c r="G3" s="101"/>
      <c r="H3" s="103" t="s">
        <v>109</v>
      </c>
      <c r="I3" s="104"/>
    </row>
    <row r="4" spans="1:9" ht="22.5" customHeight="1" x14ac:dyDescent="0.25">
      <c r="A4" s="96"/>
      <c r="B4" s="97"/>
      <c r="C4" s="101"/>
      <c r="D4" s="101"/>
      <c r="E4" s="101"/>
      <c r="F4" s="102"/>
      <c r="G4" s="102"/>
      <c r="H4" s="105" t="s">
        <v>110</v>
      </c>
      <c r="I4" s="106"/>
    </row>
    <row r="5" spans="1:9" ht="15.75" customHeight="1" x14ac:dyDescent="0.25">
      <c r="A5" s="96"/>
      <c r="B5" s="97"/>
      <c r="C5" s="28" t="s">
        <v>111</v>
      </c>
      <c r="D5" s="107" t="s">
        <v>112</v>
      </c>
      <c r="E5" s="108"/>
      <c r="F5" s="109">
        <f>'Audit Mandiri_IAU BANPT'!G8</f>
        <v>0</v>
      </c>
      <c r="G5" s="110"/>
      <c r="H5" s="111" t="s">
        <v>113</v>
      </c>
      <c r="I5" s="112"/>
    </row>
    <row r="6" spans="1:9" ht="16.5" customHeight="1" thickBot="1" x14ac:dyDescent="0.3">
      <c r="A6" s="98"/>
      <c r="B6" s="99"/>
      <c r="C6" s="113" t="s">
        <v>114</v>
      </c>
      <c r="D6" s="113"/>
      <c r="E6" s="114" t="s">
        <v>115</v>
      </c>
      <c r="F6" s="115"/>
      <c r="G6" s="115"/>
      <c r="H6" s="99"/>
      <c r="I6" s="116"/>
    </row>
    <row r="7" spans="1:9" x14ac:dyDescent="0.25">
      <c r="A7" s="117"/>
      <c r="B7" s="117"/>
      <c r="C7" s="117"/>
      <c r="D7" s="117"/>
      <c r="E7" s="117"/>
      <c r="F7" s="117"/>
      <c r="G7" s="117"/>
      <c r="H7" s="117"/>
      <c r="I7" s="117"/>
    </row>
    <row r="8" spans="1:9" x14ac:dyDescent="0.25">
      <c r="A8" s="118" t="s">
        <v>116</v>
      </c>
      <c r="B8" s="118"/>
      <c r="C8" s="118"/>
      <c r="D8" s="118"/>
      <c r="E8" s="118"/>
      <c r="F8" s="118"/>
      <c r="G8" s="118"/>
      <c r="H8" s="118"/>
      <c r="I8" s="118"/>
    </row>
    <row r="9" spans="1:9" x14ac:dyDescent="0.25">
      <c r="A9" s="118" t="s">
        <v>117</v>
      </c>
      <c r="B9" s="118"/>
      <c r="C9" s="118"/>
      <c r="D9" s="118"/>
      <c r="E9" s="118"/>
      <c r="F9" s="118"/>
      <c r="G9" s="118"/>
      <c r="H9" s="118"/>
      <c r="I9" s="118"/>
    </row>
    <row r="10" spans="1:9" x14ac:dyDescent="0.25">
      <c r="A10" s="119" t="s">
        <v>118</v>
      </c>
      <c r="B10" s="119" t="s">
        <v>119</v>
      </c>
      <c r="C10" s="119"/>
      <c r="D10" s="119"/>
      <c r="E10" s="120" t="s">
        <v>120</v>
      </c>
      <c r="F10" s="120"/>
      <c r="G10" s="119" t="s">
        <v>121</v>
      </c>
      <c r="H10" s="120" t="s">
        <v>122</v>
      </c>
      <c r="I10" s="120"/>
    </row>
    <row r="11" spans="1:9" x14ac:dyDescent="0.25">
      <c r="A11" s="119"/>
      <c r="B11" s="119"/>
      <c r="C11" s="119"/>
      <c r="D11" s="119"/>
      <c r="E11" s="120"/>
      <c r="F11" s="120"/>
      <c r="G11" s="119"/>
      <c r="H11" s="120"/>
      <c r="I11" s="120"/>
    </row>
    <row r="12" spans="1:9" ht="164.1" customHeight="1" x14ac:dyDescent="0.25">
      <c r="A12" s="30" t="s">
        <v>123</v>
      </c>
      <c r="B12" s="121" t="str">
        <f>'Audit Mandiri_IAU BANPT'!C12</f>
        <v>Apakah UPPS merumuskan visi keilmuan program studi dan tujuan program studi sesuai kriteria berikut:
1. selaras dengan defernsiasi misi dan visi UPPS maupun Perguruan Tinggi;
2. didukung dengan keberadaan standar luaran, standar proses dan standar masukan tridharma yang relevan dan mengarah pada pencapaian tujuan program studi;
3. dievaluasi pencapaiannya untuk perbaikan berkelanjutan</v>
      </c>
      <c r="C12" s="121"/>
      <c r="D12" s="121"/>
      <c r="E12" s="122">
        <f>'Audit Mandiri_IAU BANPT'!I12</f>
        <v>0</v>
      </c>
      <c r="F12" s="122"/>
      <c r="G12" s="31">
        <f>'Audit Mandiri_IAU BANPT'!H12</f>
        <v>0</v>
      </c>
      <c r="H12" s="120" t="str">
        <f>IF(G12=4,"Mencapai",IF(G12=3,"Belum Mencapai","Tidak Mencapai"))</f>
        <v>Tidak Mencapai</v>
      </c>
      <c r="I12" s="120"/>
    </row>
    <row r="13" spans="1:9" ht="164.1" customHeight="1" x14ac:dyDescent="0.25">
      <c r="A13" s="30" t="s">
        <v>124</v>
      </c>
      <c r="B13" s="123" t="str">
        <f>'Audit Mandiri_IAU BANPT'!C16</f>
        <v>Apakah strategi disusun secara partisipatif dan berbasis evaluasi</v>
      </c>
      <c r="C13" s="123"/>
      <c r="D13" s="123"/>
      <c r="E13" s="122">
        <f>'Audit Mandiri_IAU BANPT'!I16</f>
        <v>0</v>
      </c>
      <c r="F13" s="122"/>
      <c r="G13" s="31">
        <f>'Audit Mandiri_IAU BANPT'!H16</f>
        <v>0</v>
      </c>
      <c r="H13" s="120" t="str">
        <f t="shared" ref="H13:H31" si="0">IF(G13=4,"Mencapai",IF(G13=3,"Belum Mencapai","Tidak Mencapai"))</f>
        <v>Tidak Mencapai</v>
      </c>
      <c r="I13" s="120"/>
    </row>
    <row r="14" spans="1:9" ht="164.1" customHeight="1" x14ac:dyDescent="0.25">
      <c r="A14" s="30" t="s">
        <v>125</v>
      </c>
      <c r="B14" s="124" t="str">
        <f>'Audit Mandiri_IAU BANPT'!C24</f>
        <v>Apakah UPPS/Prodi memiliki kelengkapan struktur organisasi dan keefektifan penyelenggaraan organisasi.</v>
      </c>
      <c r="C14" s="125"/>
      <c r="D14" s="126"/>
      <c r="E14" s="122">
        <f>'Audit Mandiri_IAU BANPT'!I24</f>
        <v>0</v>
      </c>
      <c r="F14" s="122"/>
      <c r="G14" s="31">
        <f>'Audit Mandiri_IAU BANPT'!H24</f>
        <v>0</v>
      </c>
      <c r="H14" s="120" t="str">
        <f t="shared" si="0"/>
        <v>Tidak Mencapai</v>
      </c>
      <c r="I14" s="120"/>
    </row>
    <row r="15" spans="1:9" ht="231" customHeight="1" x14ac:dyDescent="0.25">
      <c r="A15" s="30" t="s">
        <v>126</v>
      </c>
      <c r="B15" s="124" t="str">
        <f>'Audit Mandiri_IAU BANPT'!C28</f>
        <v>Apakah mutu, manfaat, kepuasan dan keberlanjutan kerjasama pendidikan, penelitian dan PkM yang relevan dengan program studi yang berjalan telah memenuhi 3 aspek berikut:
1. memberikan manfaat bagi program studi dalam pemenuhan proses pembelajaran, penelitian, PkM
2. memberikan peningkatan kinerja tridharma dan fasilitas pendukung program studi
3. memberikan kepuasan kepada mitra industri dan mitra kerja sama lainnya, serta menjamin keberlanjutan kerja sama dan hasilnya</v>
      </c>
      <c r="C15" s="125"/>
      <c r="D15" s="126"/>
      <c r="E15" s="122">
        <f>'Audit Mandiri_IAU BANPT'!I28</f>
        <v>0</v>
      </c>
      <c r="F15" s="122"/>
      <c r="G15" s="31">
        <f>'Audit Mandiri_IAU BANPT'!H28</f>
        <v>0</v>
      </c>
      <c r="H15" s="120" t="str">
        <f t="shared" si="0"/>
        <v>Tidak Mencapai</v>
      </c>
      <c r="I15" s="120"/>
    </row>
    <row r="16" spans="1:9" ht="164.1" customHeight="1" x14ac:dyDescent="0.25">
      <c r="A16" s="30" t="s">
        <v>127</v>
      </c>
      <c r="B16" s="124" t="str">
        <f>'Audit Mandiri_IAU BANPT'!C32</f>
        <v>Apakah UPPS/Prodi memiliki/menetapkan indikator kinerja tambahan yang menunjukkan daya saing UPPS dan program studi di tingkat inernasional</v>
      </c>
      <c r="C16" s="125"/>
      <c r="D16" s="126"/>
      <c r="E16" s="122">
        <f>'Audit Mandiri_IAU BANPT'!I32</f>
        <v>0</v>
      </c>
      <c r="F16" s="122"/>
      <c r="G16" s="31">
        <f>'Audit Mandiri_IAU BANPT'!H32</f>
        <v>0</v>
      </c>
      <c r="H16" s="120" t="str">
        <f t="shared" si="0"/>
        <v>Tidak Mencapai</v>
      </c>
      <c r="I16" s="120"/>
    </row>
    <row r="17" spans="1:9" ht="164.1" customHeight="1" x14ac:dyDescent="0.25">
      <c r="A17" s="30" t="s">
        <v>128</v>
      </c>
      <c r="B17" s="124" t="str">
        <f>'Audit Mandiri_IAU BANPT'!C40</f>
        <v>Berapa skor prestasi akademik mahasiswa dalam 3 tahun terakhir</v>
      </c>
      <c r="C17" s="125"/>
      <c r="D17" s="126"/>
      <c r="E17" s="122">
        <f>'Audit Mandiri_IAU BANPT'!I40</f>
        <v>0</v>
      </c>
      <c r="F17" s="122"/>
      <c r="G17" s="31">
        <f>'Audit Mandiri_IAU BANPT'!H40</f>
        <v>4.0498614958448753</v>
      </c>
      <c r="H17" s="120" t="str">
        <f t="shared" si="0"/>
        <v>Tidak Mencapai</v>
      </c>
      <c r="I17" s="120"/>
    </row>
    <row r="18" spans="1:9" ht="164.1" customHeight="1" x14ac:dyDescent="0.25">
      <c r="A18" s="30" t="s">
        <v>129</v>
      </c>
      <c r="B18" s="124" t="str">
        <f>'Audit Mandiri_IAU BANPT'!C51</f>
        <v>Berapa persentase dan skor kualifikasi akademik Dosen Tetap Penghitung Rasio (DTPR) (S3 &gt; 25%)</v>
      </c>
      <c r="C18" s="125"/>
      <c r="D18" s="126"/>
      <c r="E18" s="122">
        <f>'Audit Mandiri_IAU BANPT'!I51</f>
        <v>0</v>
      </c>
      <c r="F18" s="122"/>
      <c r="G18" s="31">
        <f>'Audit Mandiri_IAU BANPT'!H51</f>
        <v>4</v>
      </c>
      <c r="H18" s="120" t="str">
        <f t="shared" si="0"/>
        <v>Mencapai</v>
      </c>
      <c r="I18" s="120"/>
    </row>
    <row r="19" spans="1:9" ht="164.1" customHeight="1" x14ac:dyDescent="0.25">
      <c r="A19" s="30" t="s">
        <v>130</v>
      </c>
      <c r="B19" s="124" t="str">
        <f>'Audit Mandiri_IAU BANPT'!C55</f>
        <v>Berapa persentase dan skor DTPR yang memiliki jabatan akademik GB, LK, dan L</v>
      </c>
      <c r="C19" s="125"/>
      <c r="D19" s="126"/>
      <c r="E19" s="122">
        <f>'Audit Mandiri_IAU BANPT'!I55</f>
        <v>0</v>
      </c>
      <c r="F19" s="122"/>
      <c r="G19" s="43">
        <f>'Audit Mandiri_IAU BANPT'!H55</f>
        <v>4.1428571428571423</v>
      </c>
      <c r="H19" s="120" t="str">
        <f t="shared" si="0"/>
        <v>Tidak Mencapai</v>
      </c>
      <c r="I19" s="120"/>
    </row>
    <row r="20" spans="1:9" ht="222.95" customHeight="1" x14ac:dyDescent="0.25">
      <c r="A20" s="30" t="s">
        <v>131</v>
      </c>
      <c r="B20" s="124" t="str">
        <f>'Audit Mandiri_IAU BANPT'!C61</f>
        <v>Berapa persentase dan skor DTPS yang memiliki pengakuan/rekognisi atas kepakaran/prestasi/kinerja;
Visiting lecturer di PT Internasional/A, keynote speaker internasional/nasional, mitra bestari jurnal internasional bereputasi/nasional, staf ahli lembaga internasional/nasional sesuai bidang ilmu, penghargaan atas prestasi dan kinerja tingkat wilayah/nasional/internasional (NRD) 3 tahun terakhir</v>
      </c>
      <c r="C20" s="125"/>
      <c r="D20" s="126"/>
      <c r="E20" s="122">
        <f>'Audit Mandiri_IAU BANPT'!I61</f>
        <v>0</v>
      </c>
      <c r="F20" s="122"/>
      <c r="G20" s="43">
        <f>'Audit Mandiri_IAU BANPT'!H61</f>
        <v>5</v>
      </c>
      <c r="H20" s="120" t="str">
        <f t="shared" si="0"/>
        <v>Tidak Mencapai</v>
      </c>
      <c r="I20" s="120"/>
    </row>
    <row r="21" spans="1:9" ht="164.1" customHeight="1" x14ac:dyDescent="0.25">
      <c r="A21" s="30" t="s">
        <v>132</v>
      </c>
      <c r="B21" s="124" t="str">
        <f>'Audit Mandiri_IAU BANPT'!C69</f>
        <v>Apakah UPPS/Prodi memiliki kecukupan dana untuk menjamin pencapaian capaian pembelajaran.</v>
      </c>
      <c r="C21" s="125"/>
      <c r="D21" s="126"/>
      <c r="E21" s="122">
        <f>'Audit Mandiri_IAU BANPT'!I69</f>
        <v>0</v>
      </c>
      <c r="F21" s="122"/>
      <c r="G21" s="43">
        <f>'Audit Mandiri_IAU BANPT'!H69</f>
        <v>0</v>
      </c>
      <c r="H21" s="120" t="str">
        <f t="shared" si="0"/>
        <v>Tidak Mencapai</v>
      </c>
      <c r="I21" s="120"/>
    </row>
    <row r="22" spans="1:9" ht="164.1" customHeight="1" x14ac:dyDescent="0.25">
      <c r="A22" s="30" t="s">
        <v>133</v>
      </c>
      <c r="B22" s="124" t="str">
        <f>'Audit Mandiri_IAU BANPT'!C73</f>
        <v>Apakah UPPS/Prodi memiliki kecukupan, aksesibilitas dan mutu sarana dan prasarana untuk menjamin pencapaian capaian pembelajaran dan meningkatkan suasana akademik</v>
      </c>
      <c r="C22" s="125"/>
      <c r="D22" s="126"/>
      <c r="E22" s="122">
        <f>'Audit Mandiri_IAU BANPT'!I73</f>
        <v>0</v>
      </c>
      <c r="F22" s="122"/>
      <c r="G22" s="43">
        <f>'Audit Mandiri_IAU BANPT'!H73</f>
        <v>0</v>
      </c>
      <c r="H22" s="120" t="str">
        <f t="shared" si="0"/>
        <v>Tidak Mencapai</v>
      </c>
      <c r="I22" s="120"/>
    </row>
    <row r="23" spans="1:9" ht="164.1" customHeight="1" x14ac:dyDescent="0.25">
      <c r="A23" s="30" t="s">
        <v>134</v>
      </c>
      <c r="B23" s="124" t="str">
        <f>'Audit Mandiri_IAU BANPT'!C81</f>
        <v xml:space="preserve">Pengukuran terhadap CPL </v>
      </c>
      <c r="C23" s="125"/>
      <c r="D23" s="126"/>
      <c r="E23" s="122">
        <f>'Audit Mandiri_IAU BANPT'!I81</f>
        <v>0</v>
      </c>
      <c r="F23" s="122"/>
      <c r="G23" s="43">
        <f>'Audit Mandiri_IAU BANPT'!H81</f>
        <v>0</v>
      </c>
      <c r="H23" s="120" t="str">
        <f t="shared" si="0"/>
        <v>Tidak Mencapai</v>
      </c>
      <c r="I23" s="120"/>
    </row>
    <row r="24" spans="1:9" ht="164.1" customHeight="1" x14ac:dyDescent="0.25">
      <c r="A24" s="30" t="s">
        <v>135</v>
      </c>
      <c r="B24" s="124" t="str">
        <f>'Audit Mandiri_IAU BANPT'!C85</f>
        <v>Program Studi memiliki lulusan yang memenuhi CPL</v>
      </c>
      <c r="C24" s="125"/>
      <c r="D24" s="126"/>
      <c r="E24" s="122">
        <f>'Audit Mandiri_IAU BANPT'!I85</f>
        <v>0</v>
      </c>
      <c r="F24" s="122"/>
      <c r="G24" s="43">
        <f>'Audit Mandiri_IAU BANPT'!H85</f>
        <v>0</v>
      </c>
      <c r="H24" s="120" t="str">
        <f t="shared" si="0"/>
        <v>Tidak Mencapai</v>
      </c>
      <c r="I24" s="120"/>
    </row>
    <row r="25" spans="1:9" ht="164.1" customHeight="1" x14ac:dyDescent="0.25">
      <c r="A25" s="30" t="s">
        <v>136</v>
      </c>
      <c r="B25" s="124" t="str">
        <f>'Audit Mandiri_IAU BANPT'!C93</f>
        <v>Apakah terdapat peningkatan kegiatan penelitian dalam 3 tahun terakhir</v>
      </c>
      <c r="C25" s="125"/>
      <c r="D25" s="126"/>
      <c r="E25" s="122">
        <f>'Audit Mandiri_IAU BANPT'!I93</f>
        <v>0</v>
      </c>
      <c r="F25" s="122"/>
      <c r="G25" s="43">
        <f>'Audit Mandiri_IAU BANPT'!H93</f>
        <v>0</v>
      </c>
      <c r="H25" s="120" t="str">
        <f t="shared" si="0"/>
        <v>Tidak Mencapai</v>
      </c>
      <c r="I25" s="120"/>
    </row>
    <row r="26" spans="1:9" ht="164.1" customHeight="1" x14ac:dyDescent="0.25">
      <c r="A26" s="30" t="s">
        <v>137</v>
      </c>
      <c r="B26" s="124" t="str">
        <f>'Audit Mandiri_IAU BANPT'!C97</f>
        <v>Apakah terdapat peningkatan kegiatan penelitian dalam 3 tahun terakhir melibatkan mahasiswa</v>
      </c>
      <c r="C26" s="125"/>
      <c r="D26" s="126"/>
      <c r="E26" s="122">
        <f>'Audit Mandiri_IAU BANPT'!I97</f>
        <v>0</v>
      </c>
      <c r="F26" s="122"/>
      <c r="G26" s="43">
        <f>'Audit Mandiri_IAU BANPT'!H97</f>
        <v>0</v>
      </c>
      <c r="H26" s="120" t="str">
        <f t="shared" si="0"/>
        <v>Tidak Mencapai</v>
      </c>
      <c r="I26" s="120"/>
    </row>
    <row r="27" spans="1:9" ht="164.1" customHeight="1" x14ac:dyDescent="0.25">
      <c r="A27" s="30" t="s">
        <v>138</v>
      </c>
      <c r="B27" s="124" t="str">
        <f>'Audit Mandiri_IAU BANPT'!C101</f>
        <v>Apakah terdapat peningkatan kegiatan PkM dalam 3 tahun terakhir</v>
      </c>
      <c r="C27" s="125"/>
      <c r="D27" s="126"/>
      <c r="E27" s="122">
        <f>'Audit Mandiri_IAU BANPT'!I101</f>
        <v>0</v>
      </c>
      <c r="F27" s="122"/>
      <c r="G27" s="43">
        <f>'Audit Mandiri_IAU BANPT'!H101</f>
        <v>0</v>
      </c>
      <c r="H27" s="120" t="str">
        <f t="shared" si="0"/>
        <v>Tidak Mencapai</v>
      </c>
      <c r="I27" s="120"/>
    </row>
    <row r="28" spans="1:9" ht="164.1" customHeight="1" x14ac:dyDescent="0.25">
      <c r="A28" s="30" t="s">
        <v>139</v>
      </c>
      <c r="B28" s="124" t="str">
        <f>'Audit Mandiri_IAU BANPT'!C105</f>
        <v>Apakah terdapat peningkatan kegiatan PkM dalam 3 tahun terakhir melibatkan mahasiswa</v>
      </c>
      <c r="C28" s="125"/>
      <c r="D28" s="126"/>
      <c r="E28" s="122">
        <f>'Audit Mandiri_IAU BANPT'!I105</f>
        <v>0</v>
      </c>
      <c r="F28" s="122"/>
      <c r="G28" s="43">
        <f>'Audit Mandiri_IAU BANPT'!H105</f>
        <v>0</v>
      </c>
      <c r="H28" s="120" t="str">
        <f t="shared" si="0"/>
        <v>Tidak Mencapai</v>
      </c>
      <c r="I28" s="120"/>
    </row>
    <row r="29" spans="1:9" ht="164.1" customHeight="1" x14ac:dyDescent="0.25">
      <c r="A29" s="30" t="s">
        <v>140</v>
      </c>
      <c r="B29" s="124" t="str">
        <f>'Audit Mandiri_IAU BANPT'!C113</f>
        <v>Berapakah rata-rata IPK lulusan dalam 3 tahun terakhir</v>
      </c>
      <c r="C29" s="125"/>
      <c r="D29" s="126"/>
      <c r="E29" s="122">
        <f>'Audit Mandiri_IAU BANPT'!I113</f>
        <v>0</v>
      </c>
      <c r="F29" s="122"/>
      <c r="G29" s="43">
        <f>'Audit Mandiri_IAU BANPT'!H113</f>
        <v>0</v>
      </c>
      <c r="H29" s="120" t="str">
        <f t="shared" si="0"/>
        <v>Tidak Mencapai</v>
      </c>
      <c r="I29" s="120"/>
    </row>
    <row r="30" spans="1:9" ht="164.1" customHeight="1" x14ac:dyDescent="0.25">
      <c r="A30" s="30" t="s">
        <v>141</v>
      </c>
      <c r="B30" s="124" t="str">
        <f>'Audit Mandiri_IAU BANPT'!C117</f>
        <v>Berapakah rata-rata waktu tunggu lulusan dalam 3 tahun terakhir</v>
      </c>
      <c r="C30" s="125"/>
      <c r="D30" s="126"/>
      <c r="E30" s="122">
        <f>'Audit Mandiri_IAU BANPT'!I117</f>
        <v>0</v>
      </c>
      <c r="F30" s="122"/>
      <c r="G30" s="43">
        <f>'Audit Mandiri_IAU BANPT'!H117</f>
        <v>0</v>
      </c>
      <c r="H30" s="120" t="str">
        <f t="shared" si="0"/>
        <v>Tidak Mencapai</v>
      </c>
      <c r="I30" s="120"/>
    </row>
    <row r="31" spans="1:9" ht="164.1" customHeight="1" x14ac:dyDescent="0.25">
      <c r="A31" s="30" t="s">
        <v>142</v>
      </c>
      <c r="B31" s="124" t="str">
        <f>'Audit Mandiri_IAU BANPT'!C121</f>
        <v>Berapakah persentase dan skor luaran penelitian dan PKM yang dihasilkan DTPS dalam 3 tahun terakhir</v>
      </c>
      <c r="C31" s="125"/>
      <c r="D31" s="126"/>
      <c r="E31" s="122">
        <f>'Audit Mandiri_IAU BANPT'!I121</f>
        <v>0</v>
      </c>
      <c r="F31" s="122"/>
      <c r="G31" s="43">
        <f>'Audit Mandiri_IAU BANPT'!H121</f>
        <v>8.5</v>
      </c>
      <c r="H31" s="120" t="str">
        <f t="shared" si="0"/>
        <v>Tidak Mencapai</v>
      </c>
      <c r="I31" s="120"/>
    </row>
    <row r="32" spans="1:9" ht="15.75" thickBot="1" x14ac:dyDescent="0.3"/>
    <row r="33" spans="1:9" ht="15.75" thickBot="1" x14ac:dyDescent="0.3">
      <c r="A33" s="32" t="s">
        <v>143</v>
      </c>
      <c r="B33" s="33"/>
      <c r="C33" s="34" t="s">
        <v>144</v>
      </c>
      <c r="D33" s="33"/>
      <c r="E33" s="35" t="s">
        <v>145</v>
      </c>
      <c r="F33" s="36"/>
      <c r="G33" s="36"/>
      <c r="H33" s="36"/>
      <c r="I33" s="37"/>
    </row>
    <row r="34" spans="1:9" x14ac:dyDescent="0.25">
      <c r="A34" s="127">
        <v>4</v>
      </c>
      <c r="B34" s="128"/>
      <c r="C34" s="129"/>
      <c r="D34" s="130"/>
      <c r="E34" s="131" t="s">
        <v>146</v>
      </c>
      <c r="F34" s="132"/>
      <c r="G34" s="132"/>
      <c r="H34" s="132"/>
      <c r="I34" s="133"/>
    </row>
    <row r="35" spans="1:9" ht="15.75" thickBot="1" x14ac:dyDescent="0.3">
      <c r="A35" s="137" t="s">
        <v>147</v>
      </c>
      <c r="B35" s="138"/>
      <c r="C35" s="138"/>
      <c r="D35" s="139"/>
      <c r="E35" s="134"/>
      <c r="F35" s="135"/>
      <c r="G35" s="135"/>
      <c r="H35" s="135"/>
      <c r="I35" s="136"/>
    </row>
    <row r="36" spans="1:9" ht="69.95" customHeight="1" thickBot="1" x14ac:dyDescent="0.3">
      <c r="A36" s="140" t="s">
        <v>148</v>
      </c>
      <c r="B36" s="141"/>
      <c r="C36" s="141"/>
      <c r="D36" s="141"/>
      <c r="E36" s="142"/>
      <c r="F36" s="143"/>
      <c r="G36" s="143"/>
      <c r="H36" s="143"/>
      <c r="I36" s="144"/>
    </row>
    <row r="37" spans="1:9" ht="15.75" thickBot="1" x14ac:dyDescent="0.3">
      <c r="A37" s="145" t="s">
        <v>149</v>
      </c>
      <c r="B37" s="146"/>
      <c r="C37" s="146"/>
      <c r="D37" s="147"/>
      <c r="E37" s="145"/>
      <c r="F37" s="146"/>
      <c r="G37" s="146"/>
      <c r="H37" s="146"/>
      <c r="I37" s="147"/>
    </row>
    <row r="38" spans="1:9" ht="69.95" customHeight="1" thickBot="1" x14ac:dyDescent="0.3">
      <c r="A38" s="140" t="s">
        <v>150</v>
      </c>
      <c r="B38" s="141"/>
      <c r="C38" s="141"/>
      <c r="D38" s="141"/>
      <c r="E38" s="142"/>
      <c r="F38" s="143"/>
      <c r="G38" s="143"/>
      <c r="H38" s="143"/>
      <c r="I38" s="144"/>
    </row>
    <row r="39" spans="1:9" ht="15.75" thickBot="1" x14ac:dyDescent="0.3">
      <c r="A39" s="145" t="s">
        <v>149</v>
      </c>
      <c r="B39" s="146"/>
      <c r="C39" s="146"/>
      <c r="D39" s="147"/>
      <c r="E39" s="145"/>
      <c r="F39" s="146"/>
      <c r="G39" s="146"/>
      <c r="H39" s="146"/>
      <c r="I39" s="147"/>
    </row>
    <row r="40" spans="1:9" s="38" customFormat="1" ht="69.95" customHeight="1" thickBot="1" x14ac:dyDescent="0.3">
      <c r="A40" s="140" t="s">
        <v>151</v>
      </c>
      <c r="B40" s="141"/>
      <c r="C40" s="141"/>
      <c r="D40" s="141"/>
      <c r="E40" s="148"/>
      <c r="F40" s="141"/>
      <c r="G40" s="141"/>
      <c r="H40" s="141"/>
      <c r="I40" s="149"/>
    </row>
    <row r="41" spans="1:9" x14ac:dyDescent="0.25">
      <c r="A41" s="145" t="s">
        <v>149</v>
      </c>
      <c r="B41" s="146"/>
      <c r="C41" s="146"/>
      <c r="D41" s="147"/>
      <c r="E41" s="145"/>
      <c r="F41" s="146"/>
      <c r="G41" s="146"/>
      <c r="H41" s="146"/>
      <c r="I41" s="147"/>
    </row>
    <row r="43" spans="1:9" ht="35.1" customHeight="1" x14ac:dyDescent="0.25">
      <c r="A43" s="150" t="s">
        <v>152</v>
      </c>
      <c r="B43" s="151"/>
      <c r="C43" s="151"/>
      <c r="D43" s="151"/>
      <c r="E43" s="151"/>
      <c r="F43" s="151"/>
      <c r="G43" s="151"/>
      <c r="H43" s="151"/>
      <c r="I43" s="152"/>
    </row>
    <row r="44" spans="1:9" ht="24.95" customHeight="1" x14ac:dyDescent="0.25">
      <c r="A44" s="29"/>
      <c r="B44" s="29"/>
      <c r="C44" s="29"/>
      <c r="D44" s="29"/>
      <c r="E44" s="29"/>
      <c r="F44" s="29"/>
      <c r="G44" s="29"/>
      <c r="H44" s="29"/>
      <c r="I44" s="29"/>
    </row>
    <row r="45" spans="1:9" ht="24.95" customHeight="1" x14ac:dyDescent="0.25">
      <c r="C45" t="s">
        <v>153</v>
      </c>
      <c r="E45" s="39"/>
    </row>
    <row r="46" spans="1:9" ht="24.95" customHeight="1" x14ac:dyDescent="0.25">
      <c r="B46" s="117" t="s">
        <v>154</v>
      </c>
      <c r="C46" s="117"/>
      <c r="D46" s="117"/>
      <c r="E46" s="40"/>
    </row>
    <row r="48" spans="1:9" ht="24.95" customHeight="1" x14ac:dyDescent="0.25">
      <c r="C48" t="s">
        <v>155</v>
      </c>
      <c r="E48" s="39"/>
    </row>
    <row r="49" spans="2:5" ht="24.95" customHeight="1" x14ac:dyDescent="0.25">
      <c r="B49" s="117" t="s">
        <v>154</v>
      </c>
      <c r="C49" s="117"/>
      <c r="D49" s="117"/>
      <c r="E49" s="40"/>
    </row>
    <row r="51" spans="2:5" ht="24.95" customHeight="1" x14ac:dyDescent="0.25">
      <c r="C51" t="s">
        <v>156</v>
      </c>
      <c r="E51" s="39"/>
    </row>
    <row r="52" spans="2:5" ht="24.95" customHeight="1" x14ac:dyDescent="0.25">
      <c r="B52" s="117" t="s">
        <v>154</v>
      </c>
      <c r="C52" s="117"/>
      <c r="D52" s="117"/>
      <c r="E52" s="40"/>
    </row>
  </sheetData>
  <mergeCells count="98">
    <mergeCell ref="B49:D49"/>
    <mergeCell ref="B52:D52"/>
    <mergeCell ref="A40:D40"/>
    <mergeCell ref="E40:I40"/>
    <mergeCell ref="A41:D41"/>
    <mergeCell ref="E41:I41"/>
    <mergeCell ref="A43:I43"/>
    <mergeCell ref="B46:D46"/>
    <mergeCell ref="A37:D37"/>
    <mergeCell ref="E37:I37"/>
    <mergeCell ref="A38:D38"/>
    <mergeCell ref="E38:I38"/>
    <mergeCell ref="A39:D39"/>
    <mergeCell ref="E39:I39"/>
    <mergeCell ref="A34:B34"/>
    <mergeCell ref="C34:D34"/>
    <mergeCell ref="E34:I35"/>
    <mergeCell ref="A35:D35"/>
    <mergeCell ref="A36:D36"/>
    <mergeCell ref="E36:I36"/>
    <mergeCell ref="B30:D30"/>
    <mergeCell ref="E30:F30"/>
    <mergeCell ref="H30:I30"/>
    <mergeCell ref="B31:D31"/>
    <mergeCell ref="E31:F31"/>
    <mergeCell ref="H31:I31"/>
    <mergeCell ref="B28:D28"/>
    <mergeCell ref="E28:F28"/>
    <mergeCell ref="H28:I28"/>
    <mergeCell ref="B29:D29"/>
    <mergeCell ref="E29:F29"/>
    <mergeCell ref="H29:I29"/>
    <mergeCell ref="B26:D26"/>
    <mergeCell ref="E26:F26"/>
    <mergeCell ref="H26:I26"/>
    <mergeCell ref="B27:D27"/>
    <mergeCell ref="E27:F27"/>
    <mergeCell ref="H27:I27"/>
    <mergeCell ref="B24:D24"/>
    <mergeCell ref="E24:F24"/>
    <mergeCell ref="H24:I24"/>
    <mergeCell ref="B25:D25"/>
    <mergeCell ref="E25:F25"/>
    <mergeCell ref="H25:I25"/>
    <mergeCell ref="B22:D22"/>
    <mergeCell ref="E22:F22"/>
    <mergeCell ref="H22:I22"/>
    <mergeCell ref="B23:D23"/>
    <mergeCell ref="E23:F23"/>
    <mergeCell ref="H23:I23"/>
    <mergeCell ref="B20:D20"/>
    <mergeCell ref="E20:F20"/>
    <mergeCell ref="H20:I20"/>
    <mergeCell ref="B21:D21"/>
    <mergeCell ref="E21:F21"/>
    <mergeCell ref="H21:I21"/>
    <mergeCell ref="B18:D18"/>
    <mergeCell ref="E18:F18"/>
    <mergeCell ref="H18:I18"/>
    <mergeCell ref="B19:D19"/>
    <mergeCell ref="E19:F19"/>
    <mergeCell ref="H19:I19"/>
    <mergeCell ref="B16:D16"/>
    <mergeCell ref="E16:F16"/>
    <mergeCell ref="H16:I16"/>
    <mergeCell ref="B17:D17"/>
    <mergeCell ref="E17:F17"/>
    <mergeCell ref="H17:I17"/>
    <mergeCell ref="B14:D14"/>
    <mergeCell ref="E14:F14"/>
    <mergeCell ref="H14:I14"/>
    <mergeCell ref="B15:D15"/>
    <mergeCell ref="E15:F15"/>
    <mergeCell ref="H15:I15"/>
    <mergeCell ref="B12:D12"/>
    <mergeCell ref="E12:F12"/>
    <mergeCell ref="H12:I12"/>
    <mergeCell ref="B13:D13"/>
    <mergeCell ref="E13:F13"/>
    <mergeCell ref="H13:I13"/>
    <mergeCell ref="A7:I7"/>
    <mergeCell ref="A8:I8"/>
    <mergeCell ref="A9:I9"/>
    <mergeCell ref="A10:A11"/>
    <mergeCell ref="B10:D11"/>
    <mergeCell ref="E10:F11"/>
    <mergeCell ref="G10:G11"/>
    <mergeCell ref="H10:I11"/>
    <mergeCell ref="A2:B6"/>
    <mergeCell ref="C2:G4"/>
    <mergeCell ref="H3:I3"/>
    <mergeCell ref="H4:I4"/>
    <mergeCell ref="D5:E5"/>
    <mergeCell ref="F5:G5"/>
    <mergeCell ref="H5:I5"/>
    <mergeCell ref="C6:D6"/>
    <mergeCell ref="E6:G6"/>
    <mergeCell ref="H6:I6"/>
  </mergeCells>
  <pageMargins left="0.45572916666666669" right="0.32552083333333331"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3"/>
  <sheetViews>
    <sheetView workbookViewId="0">
      <selection activeCell="B4" sqref="B4"/>
    </sheetView>
  </sheetViews>
  <sheetFormatPr defaultRowHeight="15" x14ac:dyDescent="0.25"/>
  <sheetData>
    <row r="2" spans="2:2" x14ac:dyDescent="0.25">
      <c r="B2" t="s">
        <v>4</v>
      </c>
    </row>
    <row r="3" spans="2:2" x14ac:dyDescent="0.25">
      <c r="B3" t="s">
        <v>157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458022047384696CD8CF04EFBBE2F" ma:contentTypeVersion="13" ma:contentTypeDescription="Create a new document." ma:contentTypeScope="" ma:versionID="bba25c8ae7cbf7c654093122a018fe84">
  <xsd:schema xmlns:xsd="http://www.w3.org/2001/XMLSchema" xmlns:xs="http://www.w3.org/2001/XMLSchema" xmlns:p="http://schemas.microsoft.com/office/2006/metadata/properties" xmlns:ns2="dd849fbe-fc84-4c7f-a5a9-c80240535aec" xmlns:ns3="dcc94896-8bca-4729-92aa-628d6eaaeaf1" targetNamespace="http://schemas.microsoft.com/office/2006/metadata/properties" ma:root="true" ma:fieldsID="ca4b90c4f87bca852170b089de839fb5" ns2:_="" ns3:_="">
    <xsd:import namespace="dd849fbe-fc84-4c7f-a5a9-c80240535aec"/>
    <xsd:import namespace="dcc94896-8bca-4729-92aa-628d6eaaea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849fbe-fc84-4c7f-a5a9-c80240535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70f42b-93b8-4f45-ad0f-086deba82bd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c94896-8bca-4729-92aa-628d6eaaea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f5df955-b804-4345-affd-a13ef0fb571a}" ma:internalName="TaxCatchAll" ma:showField="CatchAllData" ma:web="dcc94896-8bca-4729-92aa-628d6eaaea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849fbe-fc84-4c7f-a5a9-c80240535aec">
      <Terms xmlns="http://schemas.microsoft.com/office/infopath/2007/PartnerControls"/>
    </lcf76f155ced4ddcb4097134ff3c332f>
    <TaxCatchAll xmlns="dcc94896-8bca-4729-92aa-628d6eaaeaf1" xsi:nil="true"/>
  </documentManagement>
</p:properties>
</file>

<file path=customXml/itemProps1.xml><?xml version="1.0" encoding="utf-8"?>
<ds:datastoreItem xmlns:ds="http://schemas.openxmlformats.org/officeDocument/2006/customXml" ds:itemID="{9A15FD72-AC88-479D-BC40-6E3710BA4A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849fbe-fc84-4c7f-a5a9-c80240535aec"/>
    <ds:schemaRef ds:uri="dcc94896-8bca-4729-92aa-628d6eaaea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4E3E50-698D-4E8B-BC1A-0BB0AD7C7365}">
  <ds:schemaRefs>
    <ds:schemaRef ds:uri="http://schemas.microsoft.com/sharepoint/v3/contenttype/forms"/>
  </ds:schemaRefs>
</ds:datastoreItem>
</file>

<file path=customXml/itemProps3.xml><?xml version="1.0" encoding="utf-8"?>
<ds:datastoreItem xmlns:ds="http://schemas.openxmlformats.org/officeDocument/2006/customXml" ds:itemID="{4BAB48CF-4981-479E-868A-D12927334C7E}">
  <ds:schemaRefs>
    <ds:schemaRef ds:uri="http://schemas.microsoft.com/office/2006/metadata/properties"/>
    <ds:schemaRef ds:uri="http://schemas.microsoft.com/office/infopath/2007/PartnerControls"/>
    <ds:schemaRef ds:uri="dd849fbe-fc84-4c7f-a5a9-c80240535aec"/>
    <ds:schemaRef ds:uri="dcc94896-8bca-4729-92aa-628d6eaaea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 Mandiri_IAU BANPT</vt:lpstr>
      <vt:lpstr>Form 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IRFAN TRI RAHARJO</cp:lastModifiedBy>
  <cp:revision/>
  <dcterms:created xsi:type="dcterms:W3CDTF">2025-05-28T03:01:42Z</dcterms:created>
  <dcterms:modified xsi:type="dcterms:W3CDTF">2025-07-30T03:31:25Z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0x010100F4D458022047384696CD8CF04EFBBE2F</vt:lpwstr>
  </property>
  <property fmtid="{D5CDD505-2E9C-101B-9397-08002B2CF9AE}" pid="3" name="MediaServiceImageTags">
    <vt:lpwstr/>
  </property>
</Properties>
</file>
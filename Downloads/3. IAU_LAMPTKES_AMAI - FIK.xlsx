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!Data LPM\!QA Files\!LPM File\!Tugas\Penjaminan Mutu\LPM\1. SPMI\4. Hasil Evaluasi Jaminan Mutu\3. AMI\2025-2026\draf instrumen\Evaluasi Diri Prodi\"/>
    </mc:Choice>
  </mc:AlternateContent>
  <bookViews>
    <workbookView xWindow="0" yWindow="0" windowWidth="20400" windowHeight="9045" activeTab="3"/>
  </bookViews>
  <sheets>
    <sheet name="Audit Mandiri_IAU LAMKES" sheetId="2" r:id="rId1"/>
    <sheet name="Sheet1" sheetId="4" state="hidden" r:id="rId2"/>
    <sheet name="Form 3 FarApt" sheetId="5" r:id="rId3"/>
    <sheet name="Audit Mandiri_IAU Opto" sheetId="3" r:id="rId4"/>
    <sheet name="Form 3 Opt" sheetId="6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6" l="1"/>
  <c r="G40" i="6"/>
  <c r="G39" i="6"/>
  <c r="H39" i="6" s="1"/>
  <c r="G38" i="6"/>
  <c r="H38" i="6" s="1"/>
  <c r="G37" i="6"/>
  <c r="G36" i="6"/>
  <c r="G35" i="6"/>
  <c r="G34" i="6"/>
  <c r="H34" i="6" s="1"/>
  <c r="G33" i="6"/>
  <c r="G32" i="6"/>
  <c r="G31" i="6"/>
  <c r="H31" i="6" s="1"/>
  <c r="G30" i="6"/>
  <c r="H30" i="6" s="1"/>
  <c r="G29" i="6"/>
  <c r="G28" i="6"/>
  <c r="G27" i="6"/>
  <c r="H27" i="6" s="1"/>
  <c r="G26" i="6"/>
  <c r="H26" i="6" s="1"/>
  <c r="G25" i="6"/>
  <c r="G24" i="6"/>
  <c r="G23" i="6"/>
  <c r="G22" i="6"/>
  <c r="H22" i="6" s="1"/>
  <c r="G21" i="6"/>
  <c r="G20" i="6"/>
  <c r="G19" i="6"/>
  <c r="G18" i="6"/>
  <c r="H18" i="6" s="1"/>
  <c r="G17" i="6"/>
  <c r="G16" i="6"/>
  <c r="G15" i="6"/>
  <c r="H15" i="6" s="1"/>
  <c r="G14" i="6"/>
  <c r="H14" i="6" s="1"/>
  <c r="G13" i="6"/>
  <c r="H40" i="6"/>
  <c r="G1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42" i="6"/>
  <c r="H42" i="6"/>
  <c r="H41" i="6"/>
  <c r="B12" i="6"/>
  <c r="F5" i="6"/>
  <c r="H37" i="6"/>
  <c r="H36" i="6"/>
  <c r="H35" i="6"/>
  <c r="H33" i="6"/>
  <c r="H32" i="6"/>
  <c r="H29" i="6"/>
  <c r="H28" i="6"/>
  <c r="H25" i="6"/>
  <c r="H24" i="6"/>
  <c r="H23" i="6"/>
  <c r="H21" i="6"/>
  <c r="H20" i="6"/>
  <c r="H19" i="6"/>
  <c r="H17" i="6"/>
  <c r="H16" i="6"/>
  <c r="H13" i="6"/>
  <c r="H12" i="6"/>
  <c r="G37" i="5"/>
  <c r="H37" i="5" s="1"/>
  <c r="G36" i="5"/>
  <c r="G35" i="5"/>
  <c r="H35" i="5" s="1"/>
  <c r="G34" i="5"/>
  <c r="H34" i="5" s="1"/>
  <c r="G33" i="5"/>
  <c r="G32" i="5"/>
  <c r="H32" i="5" s="1"/>
  <c r="G31" i="5"/>
  <c r="G30" i="5"/>
  <c r="H30" i="5" s="1"/>
  <c r="G29" i="5"/>
  <c r="H29" i="5" s="1"/>
  <c r="G28" i="5"/>
  <c r="G27" i="5"/>
  <c r="G26" i="5"/>
  <c r="H26" i="5" s="1"/>
  <c r="G25" i="5"/>
  <c r="H25" i="5" s="1"/>
  <c r="G24" i="5"/>
  <c r="H24" i="5" s="1"/>
  <c r="G23" i="5"/>
  <c r="G22" i="5"/>
  <c r="H22" i="5" s="1"/>
  <c r="G21" i="5"/>
  <c r="H21" i="5" s="1"/>
  <c r="G20" i="5"/>
  <c r="G19" i="5"/>
  <c r="G18" i="5"/>
  <c r="H18" i="5" s="1"/>
  <c r="G17" i="5"/>
  <c r="H17" i="5" s="1"/>
  <c r="G16" i="5"/>
  <c r="G15" i="5"/>
  <c r="G14" i="5"/>
  <c r="H14" i="5" s="1"/>
  <c r="G13" i="5"/>
  <c r="H13" i="5" s="1"/>
  <c r="G12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B37" i="5"/>
  <c r="B36" i="5"/>
  <c r="B35" i="5"/>
  <c r="B34" i="5"/>
  <c r="B33" i="5"/>
  <c r="B32" i="5"/>
  <c r="B31" i="5"/>
  <c r="H31" i="5"/>
  <c r="H33" i="5"/>
  <c r="H38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F5" i="5"/>
  <c r="H36" i="5"/>
  <c r="H28" i="5"/>
  <c r="H27" i="5"/>
  <c r="H23" i="5"/>
  <c r="H20" i="5"/>
  <c r="H19" i="5"/>
  <c r="H16" i="5"/>
  <c r="H15" i="5"/>
  <c r="H12" i="5"/>
</calcChain>
</file>

<file path=xl/sharedStrings.xml><?xml version="1.0" encoding="utf-8"?>
<sst xmlns="http://schemas.openxmlformats.org/spreadsheetml/2006/main" count="518" uniqueCount="254">
  <si>
    <t>Form 2</t>
  </si>
  <si>
    <t>EVALUASI PROGRAM STUDI SARJANA/PROFESI</t>
  </si>
  <si>
    <t>KONFIRMASI TINDAKAN PERBAIKAN TEMUAN AMAI SIKLUS 3 - 2024</t>
  </si>
  <si>
    <t>Program Studi</t>
  </si>
  <si>
    <t>Farmasi</t>
  </si>
  <si>
    <t>YANG DI ISI HANYA SEL YANG BERWARNA KUNING</t>
  </si>
  <si>
    <t>Bagian 1.  Visi, Misi, Tujuan, Strategi</t>
  </si>
  <si>
    <t>NO.</t>
  </si>
  <si>
    <t>BAGIAN</t>
  </si>
  <si>
    <t>NILAI</t>
  </si>
  <si>
    <t>DESKRIPSI HASIL ASESMEN</t>
  </si>
  <si>
    <t>1.</t>
  </si>
  <si>
    <t>Pemenuhan Unsur VMTS</t>
  </si>
  <si>
    <t>A.</t>
  </si>
  <si>
    <t>Bagaimana mekanisme penyusunan visi, misi, dan unggulan program studi dan alasannya?</t>
  </si>
  <si>
    <t>1. Prodi memiliki mekanisme untuk mengidentifikasi keterlibatan pemangku kepentingan internal dan eksternal dalam penyusunan visi, misi, dan unggulan;
2. Terdapat kontribusi dari pemangku kepentingan tersebut dan manfaat yang mereka dapatkan
3. Permasalahan kesehatan di tingkat nasional dan  lokal dipertimbangkan dalam  penyusunan visi, misi, dan unggulan</t>
  </si>
  <si>
    <t xml:space="preserve">1. Prodi memiliki mekanisme untuk mengidentifikasi keterlibatan pemangku kepentingan internal dan eksternal dalam penyusunan visi, misi, dan unggulan;
2. Terdapat kontribusi dari pemangku kepentingan tersebut dan manfaat yang mereka dapatkan.
</t>
  </si>
  <si>
    <t>-</t>
  </si>
  <si>
    <t>B.</t>
  </si>
  <si>
    <t>Bagaimana peran visi, misi, dan unggulan dalam  perencanaan,  implementasi, monitoring, penjaminan mutu, dan manajemen di program studi?</t>
  </si>
  <si>
    <t xml:space="preserve">• Visi, misi, dan unggulan diintegrasikan dalam perencanaan program dan kegiatan.
• Ada strategi dan implementasi dari perencanaan tersebut.
• Struktur organisasi dirancang sesuai dengantata kelola untuk mencapai visi, misi, dan unggulan.
• Sistem penjaminan mutu internal  dikembangkan sesuai dengan visi, misi, dan unggulan.
• Monitoring dan evaluasi dilakukan untuk menilai pencapaian visi, misi, dan unggulan.
• Ada tindak lanjut dari hasil monitoring dan evaluasi tersebut.
• Visi, misi, dan unggulan dievaluasi dan diperbarui secara berkala.
</t>
  </si>
  <si>
    <t xml:space="preserve">• Visi, misi, dan unggulan diintegrasikan dalam perencanaan program dan kegiatan.
• Ada strategi dan implementasi dari perencanaan tersebut.
• Struktur organisasi dirancang sesuai dengantata kelola untuk mencapai visi, misi, dan unggulan.
• Sistem penjaminan mutu internal  dikembangkan sesuai dengan visi, misi, dan unggulan.
• Monitoring dan evaluasi dilakukan untuk menilai pencapaian visi, misi, dan unggulan.
• Tidak Ada tindak lanjut dari hasil monitoring dan evaluasi tersebut.
</t>
  </si>
  <si>
    <t>C.</t>
  </si>
  <si>
    <t>Bagaimana cara menyosialisasikan visi, misi, dan unggulan program studi, analisis hasil dan tindaklanjutnya?</t>
  </si>
  <si>
    <t xml:space="preserve">• PS menyosialisasikan visi, misi, dan unggulan melalui pemanfaatan berbagai media. 
• Pihak-pihak yang terlibat dalam kegiatan sosialisasi tersebut.
• UPPS dan PS melakukan analisis hasil sosialisasi dan tindaklanjutnya.
</t>
  </si>
  <si>
    <t>Bagian 2. Kurikulum</t>
  </si>
  <si>
    <t>Pemenuhan Unsur Kurikulum</t>
  </si>
  <si>
    <t>Bagaimana cara merancang dan mengembangkan capaian pembelajaran lulusan dan capaian pembelajaran mata kuliah?</t>
  </si>
  <si>
    <t xml:space="preserve">• PS menerapkan visi, misi dan unggulan serta masalah kesehatan utama di masyarakat dalam perumusan capaian pembelajaran lulusan.
• PS menerapkan capaian pembelajaran mata kuliah diturunkan secara konsisten dari capaian pembelajaran lulusan.
• PS merumuskan capaian pembelajaran mengacu pada peraturan yang berlaku (KKN level 6 (sarjana kefarmasian)) dan peraturan yang berlaku.
</t>
  </si>
  <si>
    <t xml:space="preserve">• PS menerapkan visi, misi dan unggulan serta masalah kesehatan utama di masyarakat dalam perumusan capaian pembelajaran lulusan.
• PS menerapkan capaian pembelajaran mata kuliah diturunkan secara konsisten dari capaian pembelajaran lulusan.
</t>
  </si>
  <si>
    <t>Bagaimana hubungan antara berbagai disiplin ilmu yang tercakup dalam kurikulum?</t>
  </si>
  <si>
    <t>• PS memiliki kriteria untuk identifikasi disiplim ilmu terkait agar isi kurikulum menjadi relevan, penting, dan diprioritaskan.
• PS menentukan ruang lingkup, konten, keluasan dan kedalaman cakupan serta konsentrasi.
• PS menentukan urutan, yaitu hierarki, dan perkembangan kompleksitas atau tingkat kesulitan.
• PS menetapkan struktur kurikulum dengan mengaitkan disiplin ilmu lain yang terkait untuk menunjang disiplin ilmu kefarmasian guna mencapai capaian pembelajaran lulusan.</t>
  </si>
  <si>
    <t xml:space="preserve">• PS memiliki kriteria untuk identifikasi disiplim ilmu terkait agar isi kurikulum menjadi relevan, penting, dan diprioritaskan.
• PS menentukan ruang lingkup, konten, keluasan dan kedalaman cakupan serta konsentrasi.
</t>
  </si>
  <si>
    <t>Elemen apa saja dari ilmu biomedis dan sains farmasi yang dimasukkan dalam kurikulum? Bagaimana pilihan pilihan yang dibuat dan waktu yang dialokasikan untuk elemen ini?</t>
  </si>
  <si>
    <t>PS mengidentifikasi ilmu biomedis dan sains farmasi yang relevan dengan capaian pembelajaran lulusan dengan memasukkan konten ilmu biomedis dan sains farmasi, beserta alokasi waktu, dan nilai kredit yang sesuai.</t>
  </si>
  <si>
    <t xml:space="preserve">PS mengidentifikasi ilmu biomedis dan sains farmasi yang relevan dengan capaian pembelajaran lulusan dengan memasukkan konten ilmu biomedis dan sains farmasi. </t>
  </si>
  <si>
    <t>Bagian 3. Penilaian</t>
  </si>
  <si>
    <t>3.</t>
  </si>
  <si>
    <t>Pemenuhan Unsur Penilaian</t>
  </si>
  <si>
    <t>Bagaimana penilaian capaian pembelajaran lulusan yang digunakan oleh PS?</t>
  </si>
  <si>
    <t>• PS menerapkan metode penilaian untuk setiap capaian pembelajaran.
• PS memastikan metode penilaian  memenuhi kriteria validitas, reliabilitas, dan dampaknya terhadap objektivitas capaian pembelajaran lulusan.</t>
  </si>
  <si>
    <t>• PS memastikan metode penilaian  memenuhi kriteria validitas, reliabilitas, dan dampaknya terhadap objektivitas capaian pembelajaran lulusan.</t>
  </si>
  <si>
    <t xml:space="preserve">Bagaimana penilaian digunakan sebagai pedoman untuk menentukan perkembangan pembelajaran mahasiswa? </t>
  </si>
  <si>
    <t xml:space="preserve">• PS menggunakan hasil penilaian sebagai pedoman untuk menentukan perkembangan mahasiswa dalam seluruh proses pembelajaran. 
• PS memberikan umpan balik terhadap pencapaian capaian pembelajaran (CPMK dan CPL) mahasiswa.
</t>
  </si>
  <si>
    <t xml:space="preserve">• PS menggunakan hasil penilaian sebagai pedoman untuk menentukan perkembangan mahasiswa dalam seluruh proses pembelajaran. 
</t>
  </si>
  <si>
    <t>Bagaimana data dari penilaian, digunakan untuk mengevaluasi pembelajaran dan  implementasi  kurikulum yang digunakan</t>
  </si>
  <si>
    <t xml:space="preserve">• UPPS menggunakan hasil penilaian untuk mengevaluasi pembelajaran dan kurikulum yang digunakan.
• UPPS menetapkan pihak yang terlibat dalam proses evaluasi pembelajaran dan kurikulum yang digunakan.
</t>
  </si>
  <si>
    <t xml:space="preserve">• UPPS menggunakan hasil penilaian untuk mengevaluasi pembelajaran dan kurikulum yang digunakan.
</t>
  </si>
  <si>
    <t>Bagian 4. Mahasiswa</t>
  </si>
  <si>
    <t>4.</t>
  </si>
  <si>
    <t>Pemenuhan Unsur Mahasiswa</t>
  </si>
  <si>
    <t>Bagaimana kebijakan seleksi dan penerimaan Maba dirancang agar bersifat adil dan merata, sesuai dengan kebutuhan lokal?</t>
  </si>
  <si>
    <t xml:space="preserve">• UPPS memiliki prosedur untuk kebijakan seleksi dan penerimaan Maba yang adil dan merata, dengan mempertimbangkan kebutuhan lokal. 
• UPPS menetapkan kebijakan seleksi Maba dengan mempertimbangkan Maba dari latar belakang yang tidak mampu secara ekonomi, sosial dan berasal dari daerah 3T (Terdepan,Terpencil, dan Tertinggal).
</t>
  </si>
  <si>
    <t xml:space="preserve">• UPPS memiliki prosedur untuk kebijakan seleksi dan penerimaan Maba yang adil dan merata, dengan mempertimbangkan kebutuhan lokal. 
</t>
  </si>
  <si>
    <t xml:space="preserve">Bagaimana layanan akademik dan nonakademik direkomendasikan dan dikomunikasikan kepada staf dan mahasiswa? </t>
  </si>
  <si>
    <t xml:space="preserve">• PS menyediakan informasi mengenai layanan  akademik dan non-akademik bagi staf dan mahasiswa. 
• PS memastikan bahwa staf dan mahasiswa mengetahui ketersediaan layanan mahasiswa.
</t>
  </si>
  <si>
    <t xml:space="preserve">• PS menyediakan informasi mengenai layanan  akademik dan non-akademik bagi staf dan mahasiswa. 
</t>
  </si>
  <si>
    <t>Bagaimana institusi pendidikan/UPPS memastikan bahwa lingkungan kerja dan belajar mahasiswa memenuhi standar mutu dan keselamatan mahasiswa?</t>
  </si>
  <si>
    <t>• PS memiliki mekanisme dan prosedur untuk memastikan bahwa lingkungan kerja dan belajar memenuhi standar mutu dan keselamatan mahasiswa.
• PS menyosialisasikan rencana kerja penyediaan layanan, pendidikan, dan program keselamatan kepada mahasiswa.  
• UPPS menerapkan mekanisme untuk memastikan potensi risiko terhadap keselamatan mahasiswa secara fisik dan psikologis</t>
  </si>
  <si>
    <t xml:space="preserve">• PS memiliki mekanisme dan prosedur untuk memastikan bahwa lingkungan kerja dan belajar memenuhi standar mutu dan keselamatan mahasiswa.
• PS menyosialisasikan rencana kerja penyediaan layanan, pendidikan, dan program keselamatan kepada mahasiswa.  
</t>
  </si>
  <si>
    <t>Bagian 5. Dosen dan Tendik</t>
  </si>
  <si>
    <t>5.1</t>
  </si>
  <si>
    <t>Pemenuhan Unsur Dosen dan Tendik</t>
  </si>
  <si>
    <t xml:space="preserve">Bagaimana UPPS mengambil tanggung jawab administratif atas penerapan kebijakan pengembangan profesional berkelanjutan dosen?
</t>
  </si>
  <si>
    <t xml:space="preserve">• UPPS memonitor dan mengevaluasi program pengembangan profesional berkelanjutan dosen. 
• UPPS menilai dan memberi penghargaan kepada dosen terkait dengan pengembang profesional berkelanjutan.
</t>
  </si>
  <si>
    <t xml:space="preserve">• UPPS memonitor dan mengevaluasi program pengembangan profesional berkelanjutan dosen. 
</t>
  </si>
  <si>
    <t>Bagaimana UPPS dan PS membuat mekanisme untuk menetapkan, mengatur, dan mengevaluasi kinerja dan perilaku dosen?</t>
  </si>
  <si>
    <t xml:space="preserve">• UPPS dan PS menetapkan mekanisme penilaian kinerja dan perilaku dosen. 
• UPPS menyosialisasikan mekanisme evaluasi kinerja dan perilaku dosen. 
• UPPS memiliki kebijakan dan prosedur untuk mempertahankan keberadaan dosen, pemberian penghargaan, penurunan pangkat dan pemberhentian.
</t>
  </si>
  <si>
    <t xml:space="preserve">• UPPS dan PS menetapkan mekanisme penilaian kinerja dan perilaku dosen. 
• UPPS menyosialisasikan mekanisme evaluasi kinerja dan perilaku dosen. 
</t>
  </si>
  <si>
    <t>Bagaimana monitoring dan evaluasi kinerja tendik untuk meningkatkan kualitas layanan?</t>
  </si>
  <si>
    <t>• UPPS memiliki sistem monitoring dan evaluasi kinerja tendik.
• UPPS melaksanakan monitoring dan evaluasi kinerja tendik dalam memberikan layanan thridharma.
• UPPS melakukan analisis hasil monev dan melaksanakan tindak lanjut yang relevan.</t>
  </si>
  <si>
    <t xml:space="preserve">• UPPS memiliki sistem monitoring dan evaluasi kinerja tendik.
• UPPS melaksanakan monitoring dan evaluasi kinerja tendik dalam memberikan layanan thridharma.
</t>
  </si>
  <si>
    <t>5.2</t>
  </si>
  <si>
    <t>Pemenuhan Unsur Relevansi Penelitian Dosen</t>
  </si>
  <si>
    <t>Bagaimana upaya UPPS/PS menjamin relevansi penelitian dosen dalam mendukung pencapaian visi misi dan unggulan program studi?</t>
  </si>
  <si>
    <t xml:space="preserve">• UPPS memiliki kebijakan dalam penyelenggaraan penelitian dosen dan keterlibatan mahasiswa.
• PS memastikan ketersediaan dan kesesuaian penelitian dengan roadmap, visi, misi, dan  unggulan program studi.
</t>
  </si>
  <si>
    <t xml:space="preserve">• UPPS memiliki kebijakan dalam penyelenggaraan penelitian dosen dan keterlibatan mahasiswa.
</t>
  </si>
  <si>
    <t>Bagaimana integrasi hasil penelitian dalam kegiatan pembelajaran?</t>
  </si>
  <si>
    <t>UPPS/PS memiliki kebijakan dan pelaksanaan terkait integrasi hasil penelitian dosen ke dalam kegiatan pembelajaran.</t>
  </si>
  <si>
    <t>UPPS/PS mengintegrasikan hasil penelitian dosen ke dalam kegiatan pembelajaran tanpa dokumen acuan yang jelas</t>
  </si>
  <si>
    <t>5.3</t>
  </si>
  <si>
    <t>Pemenuhan Unsur Relevansi PkM</t>
  </si>
  <si>
    <t xml:space="preserve">Bagaimana upaya UPPS/PS menjamin relevansi Pengabdian Kepada Masyarakat (PkM) dosen dalam mendukung pencapaian visi misi dan unggulan Program Studi? </t>
  </si>
  <si>
    <t xml:space="preserve">• UPPS memiliki kebijakan pelaksanaan PkM dan pelibatan mahasiswa dalam PkM dosen serta disosialisasikan.
• PS memastikan ketersediaan dan kesesuaian  PkM dengan roadmap PkM, visi, misi dan unggulan PS.
</t>
  </si>
  <si>
    <t xml:space="preserve">• UPPS memiliki kebijakan pelaksanaan PkM dan pelibatan mahasiswa dalam PkM dosen serta disosialisasikan.
</t>
  </si>
  <si>
    <t>Bagaimana integrasi hasil PkM dalam kegiatan pembelajaran?</t>
  </si>
  <si>
    <t>UPPS/PS memiliki kebijakan dan pelaksanaan terkait integrasi hasil PkM dosen ke dalam kegiatan pembelajaran.</t>
  </si>
  <si>
    <t>UPPS/PS mengintegrasikan hasil PkM dosen ke dalam kegiatan pembelajaran tanpa dokumen acuan yang jelas</t>
  </si>
  <si>
    <t>Bagian 6. Keuangan dan Sarpras</t>
  </si>
  <si>
    <t>Bagaimana UPPS mengelola sumber dan/atau jumlah keuangan yang dapat berubah dari waktu ke waktu</t>
  </si>
  <si>
    <t xml:space="preserve">UPPS memiliki kebijakan dan sistem pengelolaan sumber keuangan yang memadai untuk keberlanjutan penyelenggaraan program tridharma.
</t>
  </si>
  <si>
    <t xml:space="preserve">UPPS tidak memiliki kebijakan dan sistem pengelolaan sumber keuangan yang memadai untuk keberlanjutan penyelenggaraan program tridharma.
</t>
  </si>
  <si>
    <t>Bagaimana UPPS menentukan kecukupan infrastruktur fisik (sarana dan prasarana) yang disediakan untuk pembelajaran teori dan praktik yang ditentukan dalam kurikulum?</t>
  </si>
  <si>
    <t>• UPPS memastikan bahwa infrastruktur fisik (sarana dan prasarana) yang disediakan untuk pembelajaran teori dan praktik yang ditentukan dalam kurikulum memadai termasuk untuk mahasiswa berkebutuhan khusus.
• UPPS dan PS memiliki sekurangnya Laboratorium bidang kimia farmasi dan mikrobiologi, bidang farmasetika/ teknologi farmasi, bidang biologi farmasi, bidang farmakologi toksikologi, bidang farmasi klinik dan sosial/komunitas (keputusan APTFI).
• UPPS dan PS memiliki laboratorium dan peralatan utama yang mutakhir, dalam kondisi baik, tersedia, dan dapat digunakan secara efektif.</t>
  </si>
  <si>
    <t xml:space="preserve">• UPPS memastikan bahwa infrastruktur fisik (sarana dan prasarana) yang disediakan untuk pembelajaran teori dan praktik yang ditentukan dalam kurikulum memadai termasuk untuk mahasiswa berkebutuhan khusus.
• UPPS dan PS memiliki sekurangnya Laboratorium bidang kimia farmasi dan mikrobiologi, bidang farmasetika/ teknologi farmasi, bidang biologi farmasi, bidang farmakologi toksikologi, bidang farmasi klinik dan sosial/komunitas (keputusan APTFI).
</t>
  </si>
  <si>
    <t>Bagian 7. Penjaminan Mutu</t>
  </si>
  <si>
    <t>Bagaimana pelaksanaan sistem penjaminan mutu internal di UPPS dan PS, dan sosialisasinya pada pemangku kepentingan internal dan eksternal?</t>
  </si>
  <si>
    <t xml:space="preserve">• UPPS dan PS memiliki sistem penjaminan mutu internal yang ditetapkan, dan prosesnya diimplementasikan, dipertahankan, dan ditingkatkan.
• UPPS dan PS menentukan dan menerapkan kriteria dan metode (termasuk monitoring, pengukuran, dan indikator kinerja terkait) yang diperlukan untuk memastikan operasi dan kontrol yang efektif.
• UPPS dan PS mengevaluasi dan menerapkan perubahan yang diperlukan untuk memastikan proses penjaminan mutu mencapai hasil yang diinginkan.
• UPPS dan PS memberikan informasi tentang SPMI kepada pemangku kepentingan internal dan eksternal.
</t>
  </si>
  <si>
    <t xml:space="preserve">• UPPS dan PS memiliki sistem penjaminan mutu internal yang ditetapkan, dan prosesnya diimplementasikan, dipertahankan, dan ditingkatkan.
• UPPS dan PS menentukan dan menerapkan kriteria dan metode (termasuk monitoring, pengukuran, dan indikator kinerja terkait) yang diperlukan untuk memastikan operasi dan kontrol yang efektif.
</t>
  </si>
  <si>
    <t xml:space="preserve">Bagaimana sistem penjaminan mutu digunakan untuk meningkatkan mutu tridharma perguruan tinggi? </t>
  </si>
  <si>
    <t xml:space="preserve">• UPPS  memanfaatkan hasil dari sistem penjaminan mutu untuk mengidentifikasi, mengkaji, dan mengendalikan perubahan yang dibuat selama, atau setelah perancangan dan pengembangan tridharma.
• UPPS mengevaluasi kinerja dan efektivitas penjaminan mutu.
• UPPS mengidentifikasi dan menetapkan peluang untuk perbaikan dan menerapkan tindakan yang diperlukan untuk memenuhi kebutuhan dan meningkatkan kepuasan pemangku kepentingan.
</t>
  </si>
  <si>
    <t>Bagian 8. Tata Kelola dan Administrasi</t>
  </si>
  <si>
    <t>Bagaimana proses dan unit yang mendukung penyelenggaraan  tridharma diatur di UPPS?</t>
  </si>
  <si>
    <t xml:space="preserve">• UPPS menetapkan kegiatan tridharma yang diatur di UPPS.
• UPPS menetapkan unit-unit yang bertanggungjawab untuk mengelola UPPS dan penyeleggaraan tridharma PT.
• UPPS menyelaraskan alokasi anggaran dengan misi dan tujuan UPPS.
</t>
  </si>
  <si>
    <t>• UPPS menetapkan kegiatan tridharma yang diatur di UPPS.
• UPPS menetapkan unit-unit yang bertanggungjawab untuk mengelola UPPS dan penyeleggaraan tridharma PT.</t>
  </si>
  <si>
    <t>Bagaimana cara mengidentifikasi dan memitigasi risiko di UPPS?</t>
  </si>
  <si>
    <t>• UPPS memiliki mekanisme untuk mengidentifikasi dan memitigasi seluruh risiko yang mungkin terjadi dalam pengelolaan UPPS dan penyelenggaraan tridharma.</t>
  </si>
  <si>
    <t>Bagaimana UPPS menetapkan kebijakan tentang perwakilan mahasiswa dan partisipasi yang sesuai dalam proses akademik dan non akademik?</t>
  </si>
  <si>
    <t xml:space="preserve">• UPPS memiliki kebijakan tentang  keterlibatan perwakilan mahasiswa dan partisipasi yang sesuai dalam proses akademik dan non akademik.
• UPPS mendorong dan memfasilitasi kegiatan mahasiswa dan organisasi kemahasiswaan.
</t>
  </si>
  <si>
    <t xml:space="preserve">• UPPS memiliki kebijakan tentang  keterlibatan perwakilan mahasiswa dan partisipasi yang sesuai dalam proses akademik dan non akademik.
</t>
  </si>
  <si>
    <t>Apoteker</t>
  </si>
  <si>
    <t>Optometri</t>
  </si>
  <si>
    <t>Form 3</t>
  </si>
  <si>
    <t xml:space="preserve">Berita Acara 
Audit Mutu Internal </t>
  </si>
  <si>
    <t>Periode Audit:</t>
  </si>
  <si>
    <t>TA 2025/2026</t>
  </si>
  <si>
    <t>Teraudit:</t>
  </si>
  <si>
    <t xml:space="preserve">Program Studi  </t>
  </si>
  <si>
    <t>Tanggal Audit</t>
  </si>
  <si>
    <t>Ruang Lingkup:</t>
  </si>
  <si>
    <r>
      <t>Akademik/</t>
    </r>
    <r>
      <rPr>
        <strike/>
        <sz val="12"/>
        <color theme="1"/>
        <rFont val="Times New Roman"/>
        <family val="1"/>
      </rPr>
      <t>Non Akademik</t>
    </r>
  </si>
  <si>
    <t>Hasil Konfirmasi Auditee</t>
  </si>
  <si>
    <t>Penyelesaian Permintaan Tindakan Koreksi (PTK) AMI siklus sebelumnya</t>
  </si>
  <si>
    <t>No</t>
  </si>
  <si>
    <t>Pernyataan Standar</t>
  </si>
  <si>
    <t>Konfirmasi Auditee</t>
  </si>
  <si>
    <t>Skor</t>
  </si>
  <si>
    <t>Status Akhir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</si>
  <si>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</si>
  <si>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</si>
  <si>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</si>
  <si>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</si>
  <si>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</si>
  <si>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</si>
  <si>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</si>
  <si>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</si>
  <si>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</si>
  <si>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</si>
  <si>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</si>
  <si>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</si>
  <si>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</si>
  <si>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</si>
  <si>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</si>
  <si>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</si>
  <si>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</si>
  <si>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</si>
  <si>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</si>
  <si>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</si>
  <si>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</si>
  <si>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</si>
  <si>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</si>
  <si>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</si>
  <si>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</si>
  <si>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</si>
  <si>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</si>
  <si>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Siklus AMI</t>
  </si>
  <si>
    <t>Tgl Berlaku</t>
  </si>
  <si>
    <t>Status Audit</t>
  </si>
  <si>
    <t xml:space="preserve">Konfirmasi tindak lanjut Prodi atas hasil AMI siklus 3 sesuai format template yang disediakan beserta bukti pendukung </t>
  </si>
  <si>
    <t>Keterangan</t>
  </si>
  <si>
    <t>Permintaan Tindakan Koreksi 
(PTK) 1</t>
  </si>
  <si>
    <t>Status akhir</t>
  </si>
  <si>
    <t>Permintaan Tindakan Koreksi 
(PTK) 2</t>
  </si>
  <si>
    <t>Permintaan Tindakan Koreksi 
(PTK) 3</t>
  </si>
  <si>
    <t>Berdasarkan hasil audit yang telah dilakukan, auditee sepakat melakukan tindak lanjut dan perbaikan terhadap temuan hasil audit internal</t>
  </si>
  <si>
    <t>Teraudit</t>
  </si>
  <si>
    <t>Nama</t>
  </si>
  <si>
    <t>Auditor 1</t>
  </si>
  <si>
    <t>Ketua Auditor</t>
  </si>
  <si>
    <t>EVALUASI PROGRAM STUDI DIPLOMA TIGA</t>
  </si>
  <si>
    <t xml:space="preserve">Bagaimana visi, misi, tujuan, strategi dan unggulan disesuaikan dengan rencana strategis, penjaminan mutu, dan manajemen di program studi?
</t>
  </si>
  <si>
    <t xml:space="preserve">• Program studi menerjemahkan visi, misi, tujuan, strategi dan unggulan ke dalam program dan aktivitas.
• Program studi melakukan monitoring dan evaluasi terhadap pencapaian visi, misi, tujuan, strategi dan unggulan serta menindaklanjuti hasilnya guna perbaikan dan peningkatan. </t>
  </si>
  <si>
    <t xml:space="preserve">• Program studi menerjemahkan visi, misi, tujuan, strategi dan unggulan ke dalam program dan aktivitas.
• Program studi melakukan monitoring dan evaluasi terhadap pencapaian visi, misi, tujuan, strategi dan unggulan namun tidak ada dokumentasi tindaklanjut. </t>
  </si>
  <si>
    <t xml:space="preserve">• Program studi  menyosialisasikan visi, misi, tujuan, strategi dan unggulan dengan memanfaatkan berbagai media serta melibatkan pihak terkait.
• Tersedia analisis hasil sosialisasi dan tindaklanjutnya. </t>
  </si>
  <si>
    <t xml:space="preserve">• Program studi  menyosialisasikan visi, misi, tujuan, strategi dan unggulan dengan memanfaatkan berbagai media serta melibatkan pihak terkait.
• Tersedia analisis hasil sosialisasi namun tidak ada dokumentasi tindaklanjutnya. </t>
  </si>
  <si>
    <t xml:space="preserve">Bagaimana cara merancang dan mengembangkan capaian pembelajaran dan profil lulusan secara umum dan spesifik? </t>
  </si>
  <si>
    <t>• Program studi merujuk pada visi, misi dan unggulan serta masalah kesehatan utama di masyarakat dalam perumusan capaian pembelajaran lulusan.
• Capaian pembelajaran mata kuliah diturunkan secara konsisten dari capaian pembelajaran lulusan.</t>
  </si>
  <si>
    <t xml:space="preserve">Pendekatan apa yang digunakan dalam menyusun kurikulum dan bagaimana kesesuaiannya terhadap visi,  misi, dan unggulan? </t>
  </si>
  <si>
    <t xml:space="preserve">• Program studi menggunakan pendekatan pendidikan dan  praktik kerja lapangan dalam penyusunan dan pengembangan kurikulum.
• Penyusunan kurikulum selaras dengan visi, misi, dan unggulan program studi. </t>
  </si>
  <si>
    <t xml:space="preserve">• Penyusunan kurikulum selaras dengan visi, misi, dan unggulan program studi. </t>
  </si>
  <si>
    <t xml:space="preserve">Bagaimana program studi menyediakan pengalaman belajar yang diperlukan mahasiswa untuk mencapai capaian pembelajaran?
</t>
  </si>
  <si>
    <t>• Program studi menyediakan pengalaman belajar variatif yang diperlukan oleh mahasiswa untuk mencapai capaian pembelajaran di fasilitas kesehatan dan institusi lainnya.
• Kesesuaian tugas akhir dengan KKNI level 5 untuk Progam Studi Optometri Program Diploma Tiga.</t>
  </si>
  <si>
    <t xml:space="preserve">• Program studi menyediakan pengalaman belajar variatif yang diperlukan oleh mahasiswa untuk mencapai capaian pembelajaran di fasilitas kesehatan dan institusi lainnya.
</t>
  </si>
  <si>
    <t>D.</t>
  </si>
  <si>
    <t xml:space="preserve">Bagaimana memastikan capaian pembelajaran yang dipilih sesuai dengan konteks sosial dari wilayah program studi? </t>
  </si>
  <si>
    <t xml:space="preserve">• Program studi memilih metode analisis kebutuhan yang sesuai dengan sumber daya yang tersedia.
• Capaian pembelajaran lulusan dikaitkan dengan prioritas masalah kesehatan di wilayahnya. </t>
  </si>
  <si>
    <t xml:space="preserve">• Program studi memilih metode analisis kebutuhan yang sesuai dengan sumber daya yang tersedia.
</t>
  </si>
  <si>
    <t>E.</t>
  </si>
  <si>
    <t xml:space="preserve">Elemen apa saja dari bidang teknologi Optometri, dan kesehatan lainnya yang dimasukkan dalam kurikulum? Bagaimana pilihan yang dibuat dan waktu yang dialokasikan untuk elemen tersebut? </t>
  </si>
  <si>
    <t xml:space="preserve">• Program studi mengidentifikasi bidang teknologi Optometri,  dan kesehatan lainnya yang relevan dengan capaian pembelajaran lulusan.
• Program studi menentukan isi kurikulum bidang teknologi Optometri, kolaborasi antar profesi kesehatan dan kesehatan lainnya, alokasi waktu, dan nilai satuan kredit. </t>
  </si>
  <si>
    <t xml:space="preserve">• Program studi mengidentifikasi bidang teknologi Optometri,  dan kesehatan lainnya yang relevan dengan capaian pembelajaran lulusan.
</t>
  </si>
  <si>
    <t>F.</t>
  </si>
  <si>
    <t xml:space="preserve">Bagaimana PS menetapkan kelompok atau individu yang bertanggung jawab untuk memantau kesalahan mahasiswa dan keselamatan pasien di tingkat manajemen program vokasi dan layanan kesehatan? </t>
  </si>
  <si>
    <t xml:space="preserve">• PS memiliki prosedur penetapan kelompok atau individu yang bertanggung jawab untuk memantau kesalahan mahasiswa dan keselamatan pasien di tingkat manajemen program vokasi dan layanan kesehatan
• PS memiliki panduan etika dan perilaku yang harus dipatuhi oleh mahasiswa untuk mempersiapkan mahasiswa dan lulusan program vokasi melakukan praktik yang aman dan beretika.
• PS memiliki panduan etika dan perilaku (code of Conduct) sesuai dengan institusi pelayanan kesehatan. 
• PS memiliki pedoman bahwa pengawas di lembaga pendidikan berkolaborasi dengan pengawas klinik untuk memantau kepatuhan mahasiswa terhadap kode etik. </t>
  </si>
  <si>
    <t xml:space="preserve">• PS memiliki prosedur penetapan kelompok atau individu yang bertanggung jawab untuk memantau kesalahan mahasiswa dan keselamatan pasien di tingkat manajemen program vokasi dan layanan kesehatan
• PS memiliki panduan etika dan perilaku yang harus dipatuhi oleh mahasiswa untuk mempersiapkan mahasiswa dan lulusan program vokasi melakukan praktik yang aman dan beretika.
• PS memiliki panduan etika dan perilaku (code of Conduct) sesuai dengan institusi pelayanan kesehatan. </t>
  </si>
  <si>
    <t xml:space="preserve">Bagaimana penilaian diintegrasikan dan dikoordinasikan pada berbagai capaian pembelajaran dan kurikulum?
</t>
  </si>
  <si>
    <t>• UPPS melakukan integrasi dan koordinasi penilaian terhadap capaian pembelajaran dan kurikulum.
• UPPS mengembangkan cetak biru (blueprint) penilaian di tingkat program studi dan berbagai tingkatan serta mengevaluasinya.
• UPPS mengembangkan cetak biru (blueprint) ujian dalam rangka persiapan mahasiswa mengikuti uji kompetensi (ukom).</t>
  </si>
  <si>
    <t>• UPPS melakukan integrasi dan koordinasi penilaian terhadap capaian pembelajaran dan kurikulum.
• UPPS mengembangkan cetak biru (blueprint) penilaian di tingkat program studi dan berbagai tingkatan serta mengevaluasinya.</t>
  </si>
  <si>
    <t xml:space="preserve">Bagaimana standar (nilai kelulusan) ditetapkan pada ujian sumatif?
</t>
  </si>
  <si>
    <t xml:space="preserve">• UPPS menerapkan prosedur penetapan standar untuk menentukan nilai kelulusan pada ujian sumatif.
• UPPS menetapkan pihak yang mengambil keputusan terkait kemajuan dan kelulusan yang diharapkan sesuai capaian pembelajaran. </t>
  </si>
  <si>
    <t xml:space="preserve">• UPPS menetapkan pihak yang mengambil keputusan terkait kemajuan dan kelulusan yang diharapkan sesuai capaian pembelajaran. </t>
  </si>
  <si>
    <t xml:space="preserve">Bagaimana setiap penilaian dianalisis untuk memastikan kualitasnya?
</t>
  </si>
  <si>
    <t xml:space="preserve">• Program studi memiliki prosedur analisis setiap penilaian untuk menjamin mutu penilaian tersebut.
• Program studi menentukan pihak yang terlibat dalam pengembangan dan penerapan prosedur analisis tiap penilaian. </t>
  </si>
  <si>
    <t xml:space="preserve">• Program studi menentukan pihak yang terlibat dalam pengembangan dan penerapan prosedur analisis tiap penilaian. </t>
  </si>
  <si>
    <t xml:space="preserve">Bagaimana kebijakan  seleksi  penerimaan maba disosialisasikan,dikaji dan direvisi secara berkala?
</t>
  </si>
  <si>
    <t xml:space="preserve">• UPPS/Prodi menyosialisasikan kebijakan seleksi penerimaan maba kepada para pemangku kepentingan internal dan eksternal.
• UPPS/Prodi memiliki prosedur untuk mengkaji dan merevisi sistem seleksi dan penerimaan secara berkala dan menentukan pihak yang terlibat dalam prosedur ini. </t>
  </si>
  <si>
    <t>• UPPS/Prodi menyosialisasikan kebijakan seleksi penerimaan maba kepada para pemangku kepentingan  eksternal.
• UPPS/Prodi tidak memiliki prosedur untuk mengkaji dan merevisi sistem seleksi dan penerimaan</t>
  </si>
  <si>
    <t xml:space="preserve">Bagaimana layanan dikaji secara berkala bersama perwakilan mahasiswa untuk memastikan relevansi, aksesibilitas, dan kerahasiaan? </t>
  </si>
  <si>
    <t>• UPPS memiliki prosedur untuk mengevaluasi relevansi aksesibilitas dan kerahasiaan layanan akademik dan non akademik yang dilakukan bersama perwakilan mahasiswa melalui berbagai metode, misalnya survei, pengaduan,kelompok perwakilan.
• UPPS mampu mengakomodasi jika terdapat perubahan yang sesuai</t>
  </si>
  <si>
    <t xml:space="preserve">• UPPS memiliki prosedur untuk mengevaluasi relevansi aksesibilitas dan kerahasiaan layanan akademik dan non akademik yang dilakukan bersama perwakilan mahasiswa melalui berbagai metode, misalnya survei, pengaduan,kelompok perwakilan.
</t>
  </si>
  <si>
    <t xml:space="preserve">Bagaimana PS mengatur pelaksanaan dan tanggung jawab praktik lapangan bagi mahasiswa? </t>
  </si>
  <si>
    <t xml:space="preserve">• PS menetapkan prosedur pelaksanaan praktik lapangan dan tanggung jawab mahasiswa
• PS mengelola praktik lapangan dan tanggung jawab mahasiswa sesuai peraturan yang berlaku. </t>
  </si>
  <si>
    <t xml:space="preserve">• PS mengelola praktik lapangan dan tanggung jawab mahasiswa sesuai peraturan yang berlaku. </t>
  </si>
  <si>
    <t xml:space="preserve">Bagaimana UPPS/Prodi mencegah risiko yang membahayakan keselamatan mahasiswa?
</t>
  </si>
  <si>
    <t xml:space="preserve">• UPPS menerapkan mekanisme pencegahan risiko yang membahayakan keselamatan mahasiswa dengan mengidentifikasi, memitigasi, mencatat, dan melaporkannya.  
• UPPS memiliki dokumen/catatan langkahlangkah yang dilakukan untuk menjamin keselamatan mahasiswa ketika risiko teridentifikasi. </t>
  </si>
  <si>
    <t>• UPPS menerapkan mekanisme pencegahan risiko yang membahayakan keselamatan mahasiswa dengan mengidentifikasi, memitigasi, mencatat, dan melaporkannya.</t>
  </si>
  <si>
    <t xml:space="preserve">Bagaimana PS menetapkan jumlah dan kualifikasi dosen agar selaras dengan rancangan, penerapan, dan penjaminan mutu kurikulum? </t>
  </si>
  <si>
    <t xml:space="preserve">• PS memastikan keselarasan antara jumlah dan kualifikasi dosen dengan rancangan, penerapan dan penjaminan mutu kurikulum.
• Institusi melakukan perencanaan sumber daya manusia untuk memastikan kecukupan dosen dengan perkembangan Institusi. </t>
  </si>
  <si>
    <t xml:space="preserve">• Institusi melakukan perencanaan sumber daya manusia untuk memastikan kecukupan dosen dengan perkembangan Institusi. </t>
  </si>
  <si>
    <t xml:space="preserve">Bagaimana PS menyiapkan dosen akademik dan pembimbing lapangan untuk melaksanakan kurikulum yang telah disusun? </t>
  </si>
  <si>
    <t>PS mempersiapkan dan memastikan dosen akademik dan pembimbing lapangan untuk menerapkan kurikulum</t>
  </si>
  <si>
    <t>PS tidak memiliki persiapan khusus guna memastikan dosen akademik dan pembimbing lapangan untuk menerapkan kurikulum</t>
  </si>
  <si>
    <t>Bagaimana program studi menjamin relevansi penelitian dosen dalam mendukung pencapaian visi misi dan unggulan program studi serta monitoring, evaluasi dan tindaklanjutnya?</t>
  </si>
  <si>
    <t>• UPPS/PS memiliki kebijakan pelaksanaan penelitian dan pelibatan mahasiswa dalam penelitian dosen serta disosialisasikan.
• Ketersediaan dan kesesuaian roadmap penelitian dengan visi misi dan unggulan program studi.
• Evaluasi kesesuaian penelitian dengan roadmap dan tindak lanjut.
• Sistem monitoring dan evaluasi penelitian sampai dengan tindak lanjut di Program studi.</t>
  </si>
  <si>
    <t>• UPPS/PS memiliki kebijakan pelaksanaan penelitian dan pelibatan mahasiswa dalam penelitian dosen serta disosialisasikan.
• Ketersediaan dan kesesuaian roadmap penelitian dengan visi misi dan unggulan program studi.
• Evaluasi kesesuaian penelitian dengan roadmap dan tindak lanjut.
• Sistem monitoring dan evaluasi penelitian terlaksana namun tidak ada tindak lanjut</t>
  </si>
  <si>
    <t xml:space="preserve">Bagaimana upaya Program studi menjamin relevansi Pengabdian Kepada Masyarakat (PkM) dosen dalam mendukung pencapaian visi misi dan keunggulan Program studi serta monitoring, evaluasi dan tindak lanjutnya? </t>
  </si>
  <si>
    <t xml:space="preserve">• UPPS/PS memiliki kebijakan pelaksanaan PkM dan pelibatan mahasiswa dalam PkM dosen serta disosialisasikan.
• Ketersediaan dan kesesuaian roadmap PkM dengan visi misi dan unggulan program studi.
• Sistem monitoring dan evaluasi pelaksanaan PkM sampai dengan tindak lanjut di Program studi.
• Evaluasi kesesuaian PkM dengan roadmap dan tindak lanjut. </t>
  </si>
  <si>
    <t>• UPPS/PS memiliki kebijakan pelaksanaan PkM dan pelibatan mahasiswa dalam PkM dosen serta disosialisasikan.
• Ketersediaan dan kesesuaian roadmap PkM dengan visi misi dan unggulan program studi.
• Sistem monitoring dan evaluasi pelaksanaan PkM sampai dengan tindak lanjut di Program studi.</t>
  </si>
  <si>
    <t xml:space="preserve">Bagaimana UPPS menentukan kecukupan infrastruktur fisik (sarana dan prasarana) yang disediakan untuk pembelajaran teori dan praktik yang ditentukan dalam kurikulum? </t>
  </si>
  <si>
    <t xml:space="preserve">• UPPS memastikan bahwa infrastruktur fisik (sarana dan prasarana) yang disediakan untuk pembelajaran teori dan praktik yang ditentukan dalam kurikulum memadai, termasuk untuk mahasiswa berkebutuhan khusus.
• UPPS memastikan ketersediaan sarana dan prasarana mutakhir, dalam kondisi baik/terpelihara dan dapat digunakan secara efektif dan mudah diakses.
• UPPS memastikan bahwa sistem keselamatan dan keamanan mahasiswa diterapkan di semua lokasi. </t>
  </si>
  <si>
    <t xml:space="preserve">• UPPS memastikan bahwa infrastruktur fisik (sarana dan prasarana) yang disediakan untuk pembelajaran teori dan praktik yang ditentukan dalam kurikulum memadai, termasuk untuk mahasiswa berkebutuhan khusus.
• UPPS memastikan ketersediaan sarana dan prasarana mutakhir, dalam kondisi baik/terpelihara dan dapat digunakan secara efektif dan mudah diakses.
</t>
  </si>
  <si>
    <t xml:space="preserve">Bagaimana penggunaan skill’s lab (laboratorium keterampilan), pasien simulasi, dan pasien sebenarnya dalam memperoleh keterampilan klinik mahasiwa? </t>
  </si>
  <si>
    <t xml:space="preserve">• Memastikan bahwa skill lab, pasien simulasi dan pasien sebenarnya mendukung perolehan keterampilan klinik mahasiswa.
• Keterampilan klinik yang dipelajari menggunakan skill lab, pasien simulasi, dan pasien sebenarnya. </t>
  </si>
  <si>
    <t xml:space="preserve">• Memastikan bahwa skill lab, pasien simulasi dan pasien sebenarnya mendukung perolehan keterampilan klinik mahasiswa.
</t>
  </si>
  <si>
    <t xml:space="preserve">Bagaimana UPPS/PS melakukan rencana anggaran perubahan baik sumber dan atau jumlahnya yang disesuaikan dengan aktivitas program prioritas dari waktu ke waktu? </t>
  </si>
  <si>
    <t xml:space="preserve">• UPPS/PS melakukan rencana anggaran perubahan baik sumber dan atau jumlahnya yang disesuaikan dengan aktivitas program prioritas dari waktu ke waktu. </t>
  </si>
  <si>
    <t xml:space="preserve">• UPPS/PS melakukan rencana anggaran perubahan baik sumber dan atau jumlahnya untuk seluruh program </t>
  </si>
  <si>
    <t xml:space="preserve">Bagaimana sistem penjaminan mutu internal dilaksanakan di UPPS dan PS dan disosialisasikan? </t>
  </si>
  <si>
    <t xml:space="preserve">• Sistem penjaminan mutu internal ditetapkan, diimplementasikan, dipertahankan, dan ditingkatkan.
• UPPS menentukan dan menerapkan kriteria dan metode  (termasuk monitoring,  pengukuran, dan indikator kinerja terkait) yang diperlukan untuk memastikan operasi dan kontrol yang efektif.
• UPPS mengevaluasi dan menerapkan perubahan yang diperlukan untuk memastikan proses tersebut mencapai hasil yang diinginkan.
• UPPS menyosialisasikan informasi tentang SPMI kepada masyarakat. </t>
  </si>
  <si>
    <t xml:space="preserve">• Sistem penjaminan mutu internal ditetapkan, diimplementasikan, dipertahankan, dan ditingkatkan.
• UPPS menentukan dan menerapkan kriteria dan metode  (termasuk monitoring,  pengukuran, dan indikator kinerja terkait) yang diperlukan untuk memastikan operasi dan kontrol yang efektif.
• UPPS mengevaluasi dan menerapkan perubahan yang diperlukan untuk memastikan proses tersebut mencapai hasil yang diinginkan.
</t>
  </si>
  <si>
    <t>Bagaimana sistem penjaminan mutu digunakan untuk meningkatkan mutu tridharma perguruan tinggi?</t>
  </si>
  <si>
    <t xml:space="preserve">• UPPS memanfaatkan hasil dari sistem penjaminan mutu untuk mengidentifikasi, mengkaji, dan mengendalikan perubahan yang dibuat selama, atau setelah perancangan dan pengembangan tridharma perguruan tinggi. 
• UPPS/PS mengevaluasi kinerja dan efektivitas program tridharma perguruan tinggi.
• UPPS/PS mengidentifikasi dan menetapkan peluang untuk perbaikan dan menerapkan tindakan yang diperlukan.  </t>
  </si>
  <si>
    <t>• UPPS memanfaatkan hasil dari sistem penjaminan mutu untuk mengidentifikasi, mengkaji, dan mengendalikan perubahan yang dibuat selama, atau setelah perancangan dan pengembangan tridharma perguruan tinggi. 
• UPPS/PS mengevaluasi kinerja dan efektivitas program tridharma perguruan tinggi namun tidak ada tindaklanjut</t>
  </si>
  <si>
    <t xml:space="preserve">Bagaimana cara UPPS mengidentifikasi dan memitigasi risiko? 
</t>
  </si>
  <si>
    <t>UPPS/PS memiliki mekanisme untuk mengidentifikasi dan
memitigasi seluruh risiko yang mungkin terjadi
selama proses pembelajaran, penelitian dan
pengabdian kepada masyarakat serta alokasi
anggaran di UPPS dan terdokumentasi dengan baik</t>
  </si>
  <si>
    <t>UPPS/PS memiliki mekanisme untuk mengidentifikasi dan
memitigasi seluruh risiko yang mungkin terjadi
selama proses pembelajaran, penelitian dan
pengabdian kepada masyarakat serta alokasi
anggaran di UPPS namun tidak terdokumentasi dengan baik</t>
  </si>
  <si>
    <t>28</t>
  </si>
  <si>
    <t>29</t>
  </si>
  <si>
    <t>30</t>
  </si>
  <si>
    <t>31</t>
  </si>
  <si>
    <t>DESKRIPSI HASIL EVALUASI DIRI</t>
  </si>
  <si>
    <t>Pemenuhan Unsur Keuangan dan Sarpras</t>
  </si>
  <si>
    <t>Pemenuhan Unsur Penjaminan Mutu</t>
  </si>
  <si>
    <t>Pemenuhan Unsur Tata Kelola dan Administrasi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</si>
</sst>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FFFFFF"/>
      <name val="Calibri"/>
      <family val="2"/>
    </font>
    <font>
      <sz val="14"/>
      <color rgb="FFFF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4"/>
      <color theme="0"/>
      <name val="Calibri"/>
      <family val="2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8DB3E2"/>
      <name val="Times New Roman"/>
      <family val="1"/>
    </font>
    <font>
      <strike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</font>
    <font>
      <u/>
      <sz val="14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 applyNumberFormat="0" applyFill="0" applyBorder="0" applyAlignment="0" applyProtection="0"/>
  </cellStyleXfs>
  <cellXfs count="147">
    <xf numFmtId="0" fontId="0" fillId="0" borderId="0" xfId="0"/>
    <xf numFmtId="0" fontId="1" fillId="0" borderId="0" xfId="1" applyAlignment="1">
      <alignment wrapText="1"/>
    </xf>
    <xf numFmtId="0" fontId="1" fillId="0" borderId="0" xfId="1"/>
    <xf numFmtId="0" fontId="4" fillId="0" borderId="0" xfId="1" applyFont="1" applyAlignment="1">
      <alignment wrapText="1"/>
    </xf>
    <xf numFmtId="1" fontId="5" fillId="0" borderId="4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" fontId="5" fillId="0" borderId="7" xfId="1" quotePrefix="1" applyNumberFormat="1" applyFont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vertical="top" wrapText="1"/>
      <protection locked="0"/>
    </xf>
    <xf numFmtId="0" fontId="8" fillId="0" borderId="0" xfId="1" applyFont="1" applyAlignment="1">
      <alignment horizontal="center" vertical="center" wrapText="1"/>
    </xf>
    <xf numFmtId="0" fontId="5" fillId="6" borderId="10" xfId="1" applyFont="1" applyFill="1" applyBorder="1" applyAlignment="1" applyProtection="1">
      <alignment horizontal="center" vertical="center" wrapText="1"/>
      <protection locked="0"/>
    </xf>
    <xf numFmtId="0" fontId="9" fillId="0" borderId="13" xfId="1" applyFont="1" applyBorder="1" applyAlignment="1">
      <alignment vertical="top" wrapText="1"/>
    </xf>
    <xf numFmtId="0" fontId="9" fillId="0" borderId="15" xfId="1" applyFont="1" applyBorder="1" applyAlignment="1">
      <alignment vertical="top" wrapText="1"/>
    </xf>
    <xf numFmtId="0" fontId="5" fillId="6" borderId="1" xfId="1" applyFont="1" applyFill="1" applyBorder="1" applyAlignment="1" applyProtection="1">
      <alignment horizontal="center" vertical="center" wrapText="1"/>
      <protection locked="0"/>
    </xf>
    <xf numFmtId="0" fontId="9" fillId="0" borderId="17" xfId="1" applyFont="1" applyBorder="1" applyAlignment="1">
      <alignment vertical="top" wrapText="1"/>
    </xf>
    <xf numFmtId="0" fontId="9" fillId="0" borderId="18" xfId="1" applyFont="1" applyBorder="1" applyAlignment="1">
      <alignment vertical="top" wrapText="1"/>
    </xf>
    <xf numFmtId="0" fontId="3" fillId="0" borderId="0" xfId="1" applyFont="1" applyAlignment="1">
      <alignment wrapText="1"/>
    </xf>
    <xf numFmtId="0" fontId="9" fillId="0" borderId="0" xfId="1" applyFont="1" applyAlignment="1">
      <alignment vertical="top" wrapText="1"/>
    </xf>
    <xf numFmtId="0" fontId="1" fillId="0" borderId="0" xfId="1" applyAlignment="1">
      <alignment horizontal="center" vertical="top" wrapText="1"/>
    </xf>
    <xf numFmtId="0" fontId="11" fillId="0" borderId="0" xfId="1" applyFont="1" applyAlignment="1">
      <alignment horizontal="right" wrapText="1"/>
    </xf>
    <xf numFmtId="0" fontId="5" fillId="0" borderId="0" xfId="1" applyFont="1" applyAlignment="1">
      <alignment horizontal="centerContinuous" wrapText="1"/>
    </xf>
    <xf numFmtId="0" fontId="10" fillId="0" borderId="25" xfId="0" applyFont="1" applyBorder="1"/>
    <xf numFmtId="0" fontId="0" fillId="0" borderId="27" xfId="0" applyBorder="1"/>
    <xf numFmtId="0" fontId="15" fillId="0" borderId="29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9" fillId="0" borderId="8" xfId="0" quotePrefix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Continuous"/>
    </xf>
    <xf numFmtId="0" fontId="19" fillId="0" borderId="29" xfId="0" applyFont="1" applyBorder="1" applyAlignment="1">
      <alignment horizontal="centerContinuous"/>
    </xf>
    <xf numFmtId="0" fontId="19" fillId="0" borderId="26" xfId="0" applyFont="1" applyBorder="1" applyAlignment="1">
      <alignment horizontal="centerContinuous"/>
    </xf>
    <xf numFmtId="0" fontId="19" fillId="0" borderId="40" xfId="0" applyFont="1" applyBorder="1" applyAlignment="1">
      <alignment horizontal="centerContinuous"/>
    </xf>
    <xf numFmtId="0" fontId="19" fillId="0" borderId="41" xfId="0" applyFont="1" applyBorder="1" applyAlignment="1">
      <alignment horizontal="centerContinuous"/>
    </xf>
    <xf numFmtId="0" fontId="19" fillId="0" borderId="42" xfId="0" applyFont="1" applyBorder="1" applyAlignment="1">
      <alignment horizontal="centerContinuous"/>
    </xf>
    <xf numFmtId="0" fontId="0" fillId="0" borderId="0" xfId="0" applyAlignment="1">
      <alignment vertical="center"/>
    </xf>
    <xf numFmtId="0" fontId="0" fillId="0" borderId="8" xfId="0" applyBorder="1"/>
    <xf numFmtId="0" fontId="0" fillId="0" borderId="14" xfId="0" applyBorder="1"/>
    <xf numFmtId="2" fontId="19" fillId="0" borderId="11" xfId="0" applyNumberFormat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22" fillId="0" borderId="0" xfId="1" applyFont="1" applyAlignment="1">
      <alignment wrapText="1"/>
    </xf>
    <xf numFmtId="0" fontId="22" fillId="0" borderId="0" xfId="1" applyFont="1"/>
    <xf numFmtId="0" fontId="23" fillId="0" borderId="0" xfId="2" applyFont="1" applyAlignment="1">
      <alignment wrapText="1"/>
    </xf>
    <xf numFmtId="0" fontId="1" fillId="0" borderId="0" xfId="1" applyAlignment="1">
      <alignment wrapText="1"/>
    </xf>
    <xf numFmtId="0" fontId="1" fillId="0" borderId="8" xfId="1" applyBorder="1" applyAlignment="1">
      <alignment horizontal="center" vertical="top" wrapText="1"/>
    </xf>
    <xf numFmtId="0" fontId="1" fillId="0" borderId="12" xfId="1" applyBorder="1" applyAlignment="1">
      <alignment horizontal="center" vertical="top" wrapText="1"/>
    </xf>
    <xf numFmtId="0" fontId="1" fillId="0" borderId="14" xfId="1" applyBorder="1" applyAlignment="1">
      <alignment horizontal="center" vertical="top" wrapText="1"/>
    </xf>
    <xf numFmtId="0" fontId="4" fillId="0" borderId="9" xfId="1" applyFont="1" applyBorder="1" applyAlignment="1">
      <alignment horizontal="left" vertical="top" wrapText="1"/>
    </xf>
    <xf numFmtId="0" fontId="1" fillId="0" borderId="0" xfId="1" applyAlignment="1">
      <alignment wrapText="1"/>
    </xf>
    <xf numFmtId="0" fontId="1" fillId="0" borderId="9" xfId="1" applyBorder="1" applyAlignment="1"/>
    <xf numFmtId="0" fontId="1" fillId="2" borderId="11" xfId="1" applyFill="1" applyBorder="1" applyAlignment="1" applyProtection="1">
      <alignment horizontal="center" vertical="top"/>
      <protection locked="0"/>
    </xf>
    <xf numFmtId="0" fontId="6" fillId="3" borderId="2" xfId="1" applyFont="1" applyFill="1" applyBorder="1" applyAlignment="1">
      <alignment horizontal="center" vertical="top" wrapText="1"/>
    </xf>
    <xf numFmtId="0" fontId="6" fillId="3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vertical="top" wrapText="1"/>
    </xf>
    <xf numFmtId="0" fontId="1" fillId="0" borderId="3" xfId="1" applyBorder="1" applyAlignment="1"/>
    <xf numFmtId="0" fontId="5" fillId="5" borderId="1" xfId="1" applyFont="1" applyFill="1" applyBorder="1" applyAlignment="1">
      <alignment horizontal="left" vertical="center" wrapText="1"/>
    </xf>
    <xf numFmtId="0" fontId="1" fillId="0" borderId="2" xfId="1" applyBorder="1" applyAlignment="1"/>
    <xf numFmtId="0" fontId="7" fillId="4" borderId="1" xfId="1" applyFont="1" applyFill="1" applyBorder="1" applyAlignment="1">
      <alignment horizontal="center" vertical="center" wrapText="1"/>
    </xf>
    <xf numFmtId="0" fontId="7" fillId="4" borderId="22" xfId="1" applyFont="1" applyFill="1" applyBorder="1" applyAlignment="1">
      <alignment horizontal="center" vertical="center" wrapText="1"/>
    </xf>
    <xf numFmtId="0" fontId="7" fillId="4" borderId="23" xfId="1" applyFont="1" applyFill="1" applyBorder="1" applyAlignment="1">
      <alignment horizontal="center" vertical="center" wrapText="1"/>
    </xf>
    <xf numFmtId="0" fontId="7" fillId="4" borderId="24" xfId="1" applyFont="1" applyFill="1" applyBorder="1" applyAlignment="1">
      <alignment horizontal="center" vertical="center" wrapText="1"/>
    </xf>
    <xf numFmtId="0" fontId="4" fillId="0" borderId="19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6" fillId="3" borderId="19" xfId="1" applyFont="1" applyFill="1" applyBorder="1" applyAlignment="1">
      <alignment horizontal="center" vertical="top" wrapText="1"/>
    </xf>
    <xf numFmtId="0" fontId="4" fillId="0" borderId="10" xfId="1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4" fillId="0" borderId="20" xfId="1" applyFont="1" applyBorder="1" applyAlignment="1">
      <alignment vertical="top" wrapText="1"/>
    </xf>
    <xf numFmtId="0" fontId="1" fillId="0" borderId="21" xfId="1" applyBorder="1" applyAlignment="1"/>
    <xf numFmtId="0" fontId="5" fillId="0" borderId="4" xfId="1" applyFont="1" applyBorder="1" applyAlignment="1">
      <alignment horizontal="left" vertical="center" wrapText="1"/>
    </xf>
    <xf numFmtId="0" fontId="1" fillId="0" borderId="5" xfId="1" applyBorder="1" applyAlignment="1"/>
    <xf numFmtId="0" fontId="1" fillId="0" borderId="6" xfId="1" applyBorder="1" applyAlignment="1"/>
    <xf numFmtId="0" fontId="4" fillId="0" borderId="1" xfId="1" applyFont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wrapText="1"/>
    </xf>
    <xf numFmtId="0" fontId="1" fillId="0" borderId="16" xfId="1" applyBorder="1" applyAlignment="1">
      <alignment horizontal="center" vertical="top" wrapText="1"/>
    </xf>
    <xf numFmtId="0" fontId="1" fillId="0" borderId="17" xfId="1" applyBorder="1" applyAlignment="1"/>
    <xf numFmtId="0" fontId="1" fillId="0" borderId="18" xfId="1" applyBorder="1" applyAlignment="1"/>
    <xf numFmtId="0" fontId="4" fillId="0" borderId="17" xfId="1" applyFont="1" applyBorder="1" applyAlignment="1">
      <alignment horizontal="left" vertical="top" wrapText="1"/>
    </xf>
    <xf numFmtId="0" fontId="6" fillId="3" borderId="1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5" fillId="8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2" fillId="3" borderId="0" xfId="1" applyFont="1" applyFill="1" applyAlignment="1">
      <alignment horizontal="center" wrapText="1"/>
    </xf>
    <xf numFmtId="0" fontId="3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5" fillId="3" borderId="0" xfId="1" applyFont="1" applyFill="1" applyAlignment="1">
      <alignment horizontal="center" wrapText="1"/>
    </xf>
    <xf numFmtId="0" fontId="0" fillId="0" borderId="0" xfId="0" applyAlignment="1">
      <alignment horizontal="center"/>
    </xf>
    <xf numFmtId="0" fontId="18" fillId="0" borderId="32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top"/>
    </xf>
    <xf numFmtId="0" fontId="19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top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3" xfId="0" applyBorder="1" applyAlignment="1">
      <alignment horizontal="center"/>
    </xf>
    <xf numFmtId="0" fontId="20" fillId="0" borderId="32" xfId="0" applyFont="1" applyBorder="1" applyAlignment="1">
      <alignment horizontal="left" vertical="top" wrapText="1"/>
    </xf>
    <xf numFmtId="0" fontId="20" fillId="0" borderId="33" xfId="0" applyFont="1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0" fontId="0" fillId="0" borderId="47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10" fillId="0" borderId="40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8" fillId="0" borderId="44" xfId="0" applyFont="1" applyBorder="1" applyAlignment="1">
      <alignment horizontal="left" wrapText="1"/>
    </xf>
    <xf numFmtId="0" fontId="18" fillId="0" borderId="45" xfId="0" applyFont="1" applyBorder="1" applyAlignment="1">
      <alignment horizontal="left" wrapText="1"/>
    </xf>
    <xf numFmtId="0" fontId="18" fillId="0" borderId="8" xfId="0" applyFont="1" applyBorder="1" applyAlignment="1">
      <alignment horizontal="left" wrapText="1"/>
    </xf>
    <xf numFmtId="0" fontId="18" fillId="0" borderId="46" xfId="0" applyFont="1" applyBorder="1" applyAlignment="1">
      <alignment horizontal="left" wrapText="1"/>
    </xf>
    <xf numFmtId="0" fontId="19" fillId="0" borderId="3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0" fillId="0" borderId="33" xfId="0" applyBorder="1" applyAlignment="1">
      <alignment horizontal="center"/>
    </xf>
    <xf numFmtId="0" fontId="0" fillId="0" borderId="21" xfId="0" applyBorder="1" applyAlignment="1">
      <alignment horizont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5" fillId="0" borderId="7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5" fillId="0" borderId="7" xfId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212149</xdr:colOff>
      <xdr:row>1</xdr:row>
      <xdr:rowOff>91467</xdr:rowOff>
    </xdr:from>
    <xdr:to>
      <xdr:col>1</xdr:col>
      <xdr:colOff>845343</xdr:colOff>
      <xdr:row>5</xdr:row>
      <xdr:rowOff>128702</xdr:rowOff>
    </xdr:to>
    <xdr:pic>
      <xdr:nvPicPr>
        <xdr:cNvPr id="2" name="Picture 3" descr="Logo Universitas Ma Chung - Transparant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149" y="291492"/>
          <a:ext cx="890369" cy="92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212149</xdr:colOff>
      <xdr:row>1</xdr:row>
      <xdr:rowOff>91467</xdr:rowOff>
    </xdr:from>
    <xdr:to>
      <xdr:col>1</xdr:col>
      <xdr:colOff>845343</xdr:colOff>
      <xdr:row>5</xdr:row>
      <xdr:rowOff>128702</xdr:rowOff>
    </xdr:to>
    <xdr:pic>
      <xdr:nvPicPr>
        <xdr:cNvPr id="2" name="Picture 3" descr="Logo Universitas Ma Chung - Transparant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149" y="291492"/>
          <a:ext cx="890369" cy="92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chungac.sharepoint.com/:w:/s/AMAI/EQTYO0S7YFVEqfJhXh51E-UBmOs--EwfvC7X_A2nxY-Mdw?e=Xmwvh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showGridLines="0" zoomScale="120" zoomScaleNormal="120" workbookViewId="0">
      <selection activeCell="A130" sqref="A130:XFD130"/>
    </sheetView>
  </sheetViews>
  <sheetFormatPr defaultColWidth="8.85546875" defaultRowHeight="15.75" x14ac:dyDescent="0.25"/>
  <cols>
    <col min="1" max="1" width="2.42578125" style="1" customWidth="1"/>
    <col min="2" max="2" width="8.85546875" style="1" customWidth="1"/>
    <col min="3" max="3" width="3.28515625" style="1" customWidth="1"/>
    <col min="4" max="4" width="3.140625" style="1" customWidth="1"/>
    <col min="5" max="5" width="3.7109375" style="1" customWidth="1"/>
    <col min="6" max="6" width="8.85546875" style="1" customWidth="1"/>
    <col min="7" max="7" width="48.42578125" style="1" customWidth="1"/>
    <col min="8" max="8" width="7.7109375" style="16" customWidth="1"/>
    <col min="9" max="9" width="53.7109375" style="3" customWidth="1"/>
    <col min="10" max="10" width="17.85546875" style="1" customWidth="1"/>
    <col min="11" max="11" width="8.85546875" style="1" customWidth="1"/>
    <col min="12" max="16384" width="8.85546875" style="2"/>
  </cols>
  <sheetData>
    <row r="1" spans="1:12" x14ac:dyDescent="0.25">
      <c r="I1" s="19" t="s">
        <v>0</v>
      </c>
    </row>
    <row r="2" spans="1:12" ht="25.7" customHeight="1" x14ac:dyDescent="0.4">
      <c r="B2" s="81" t="s">
        <v>1</v>
      </c>
      <c r="C2" s="47"/>
      <c r="D2" s="47"/>
      <c r="E2" s="47"/>
      <c r="F2" s="47"/>
      <c r="G2" s="47"/>
      <c r="H2" s="82"/>
      <c r="I2" s="83"/>
    </row>
    <row r="3" spans="1:12" s="40" customFormat="1" ht="30" customHeight="1" x14ac:dyDescent="0.3">
      <c r="A3" s="39"/>
      <c r="B3" s="79" t="s">
        <v>2</v>
      </c>
      <c r="C3" s="79"/>
      <c r="D3" s="79"/>
      <c r="E3" s="79"/>
      <c r="F3" s="79"/>
      <c r="G3" s="79"/>
      <c r="H3" s="79"/>
      <c r="I3" s="79"/>
      <c r="J3" s="39"/>
      <c r="K3" s="39"/>
    </row>
    <row r="4" spans="1:12" ht="15.75" customHeight="1" x14ac:dyDescent="0.3">
      <c r="B4" s="80" t="s">
        <v>3</v>
      </c>
      <c r="C4" s="80"/>
      <c r="D4" s="80"/>
      <c r="E4" s="80"/>
      <c r="F4" s="80"/>
      <c r="G4" s="41"/>
      <c r="I4" s="41"/>
    </row>
    <row r="5" spans="1:12" ht="18.75" x14ac:dyDescent="0.3">
      <c r="B5" s="80"/>
      <c r="C5" s="80"/>
      <c r="D5" s="80"/>
      <c r="E5" s="80"/>
      <c r="F5" s="80"/>
      <c r="G5" s="41" t="s">
        <v>4</v>
      </c>
      <c r="I5" s="41"/>
    </row>
    <row r="6" spans="1:12" ht="18.75" x14ac:dyDescent="0.3">
      <c r="B6" s="80"/>
      <c r="C6" s="80"/>
      <c r="D6" s="80"/>
      <c r="E6" s="80"/>
      <c r="F6" s="80"/>
      <c r="G6" s="41"/>
    </row>
    <row r="7" spans="1:12" ht="18" customHeight="1" x14ac:dyDescent="0.3">
      <c r="B7" s="84" t="s">
        <v>5</v>
      </c>
      <c r="C7" s="47"/>
      <c r="D7" s="47"/>
      <c r="E7" s="47"/>
      <c r="F7" s="47"/>
      <c r="G7" s="47"/>
      <c r="H7" s="82"/>
      <c r="I7" s="83"/>
    </row>
    <row r="8" spans="1:12" ht="18.75" customHeight="1" x14ac:dyDescent="0.3">
      <c r="B8" s="20" t="s">
        <v>3</v>
      </c>
      <c r="C8" s="20"/>
      <c r="D8" s="20"/>
      <c r="E8" s="20"/>
      <c r="F8" s="20"/>
      <c r="G8" s="72"/>
      <c r="H8" s="72"/>
      <c r="I8" s="72"/>
    </row>
    <row r="9" spans="1:12" ht="32.1" customHeight="1" x14ac:dyDescent="0.25">
      <c r="B9" s="56" t="s">
        <v>6</v>
      </c>
      <c r="C9" s="55"/>
      <c r="D9" s="55"/>
      <c r="E9" s="55"/>
      <c r="F9" s="55"/>
      <c r="G9" s="55"/>
      <c r="H9" s="55"/>
      <c r="I9" s="53"/>
    </row>
    <row r="10" spans="1:12" ht="18.75" x14ac:dyDescent="0.25">
      <c r="B10" s="4" t="s">
        <v>7</v>
      </c>
      <c r="C10" s="68" t="s">
        <v>8</v>
      </c>
      <c r="D10" s="69"/>
      <c r="E10" s="69"/>
      <c r="F10" s="69"/>
      <c r="G10" s="70"/>
      <c r="H10" s="5" t="s">
        <v>9</v>
      </c>
      <c r="I10" s="5" t="s">
        <v>250</v>
      </c>
    </row>
    <row r="11" spans="1:12" s="1" customFormat="1" ht="18.75" x14ac:dyDescent="0.25">
      <c r="B11" s="6" t="s">
        <v>11</v>
      </c>
      <c r="C11" s="54" t="s">
        <v>12</v>
      </c>
      <c r="D11" s="55"/>
      <c r="E11" s="55"/>
      <c r="F11" s="55"/>
      <c r="G11" s="53"/>
      <c r="H11" s="7"/>
      <c r="I11" s="8"/>
      <c r="J11" s="9"/>
      <c r="L11" s="2"/>
    </row>
    <row r="12" spans="1:12" s="1" customFormat="1" ht="37.5" customHeight="1" x14ac:dyDescent="0.25">
      <c r="B12" s="43" t="s">
        <v>13</v>
      </c>
      <c r="C12" s="46" t="s">
        <v>14</v>
      </c>
      <c r="D12" s="47"/>
      <c r="E12" s="47"/>
      <c r="F12" s="47"/>
      <c r="G12" s="48"/>
      <c r="H12" s="10"/>
      <c r="I12" s="49"/>
      <c r="L12" s="2"/>
    </row>
    <row r="13" spans="1:12" s="1" customFormat="1" ht="150" customHeight="1" x14ac:dyDescent="0.25">
      <c r="B13" s="44"/>
      <c r="C13" s="51">
        <v>4</v>
      </c>
      <c r="D13" s="55"/>
      <c r="E13" s="53"/>
      <c r="F13" s="78" t="s">
        <v>15</v>
      </c>
      <c r="G13" s="53"/>
      <c r="H13" s="11"/>
      <c r="I13" s="49"/>
      <c r="L13" s="2"/>
    </row>
    <row r="14" spans="1:12" s="1" customFormat="1" ht="102.75" customHeight="1" x14ac:dyDescent="0.25">
      <c r="B14" s="44"/>
      <c r="C14" s="51">
        <v>3</v>
      </c>
      <c r="D14" s="55"/>
      <c r="E14" s="53"/>
      <c r="F14" s="78" t="s">
        <v>16</v>
      </c>
      <c r="G14" s="53"/>
      <c r="H14" s="11"/>
      <c r="I14" s="49"/>
      <c r="L14" s="2"/>
    </row>
    <row r="15" spans="1:12" s="1" customFormat="1" ht="15" x14ac:dyDescent="0.25">
      <c r="B15" s="45"/>
      <c r="C15" s="51">
        <v>0</v>
      </c>
      <c r="D15" s="55"/>
      <c r="E15" s="53"/>
      <c r="F15" s="71" t="s">
        <v>17</v>
      </c>
      <c r="G15" s="53"/>
      <c r="H15" s="12"/>
      <c r="I15" s="49"/>
      <c r="L15" s="2"/>
    </row>
    <row r="16" spans="1:12" s="1" customFormat="1" ht="51" customHeight="1" x14ac:dyDescent="0.25">
      <c r="B16" s="73" t="s">
        <v>18</v>
      </c>
      <c r="C16" s="76" t="s">
        <v>19</v>
      </c>
      <c r="D16" s="47"/>
      <c r="E16" s="47"/>
      <c r="F16" s="47"/>
      <c r="G16" s="48"/>
      <c r="H16" s="13"/>
      <c r="I16" s="49"/>
      <c r="L16" s="2"/>
    </row>
    <row r="17" spans="2:12" s="1" customFormat="1" ht="230.1" customHeight="1" x14ac:dyDescent="0.25">
      <c r="B17" s="74"/>
      <c r="C17" s="77">
        <v>4</v>
      </c>
      <c r="D17" s="55"/>
      <c r="E17" s="53"/>
      <c r="F17" s="78" t="s">
        <v>20</v>
      </c>
      <c r="G17" s="53"/>
      <c r="H17" s="14"/>
      <c r="I17" s="49"/>
      <c r="L17" s="2"/>
    </row>
    <row r="18" spans="2:12" s="1" customFormat="1" ht="204.75" customHeight="1" x14ac:dyDescent="0.25">
      <c r="B18" s="74"/>
      <c r="C18" s="77">
        <v>3</v>
      </c>
      <c r="D18" s="55"/>
      <c r="E18" s="53"/>
      <c r="F18" s="78" t="s">
        <v>21</v>
      </c>
      <c r="G18" s="53"/>
      <c r="H18" s="14"/>
      <c r="I18" s="49"/>
      <c r="L18" s="2"/>
    </row>
    <row r="19" spans="2:12" s="1" customFormat="1" ht="15" x14ac:dyDescent="0.25">
      <c r="B19" s="75"/>
      <c r="C19" s="77">
        <v>0</v>
      </c>
      <c r="D19" s="55"/>
      <c r="E19" s="53"/>
      <c r="F19" s="71" t="s">
        <v>17</v>
      </c>
      <c r="G19" s="53"/>
      <c r="H19" s="15"/>
      <c r="I19" s="49"/>
      <c r="L19" s="2"/>
    </row>
    <row r="20" spans="2:12" s="1" customFormat="1" ht="36.75" customHeight="1" x14ac:dyDescent="0.25">
      <c r="B20" s="73" t="s">
        <v>22</v>
      </c>
      <c r="C20" s="76" t="s">
        <v>23</v>
      </c>
      <c r="D20" s="47"/>
      <c r="E20" s="47"/>
      <c r="F20" s="47"/>
      <c r="G20" s="48"/>
      <c r="H20" s="13"/>
      <c r="I20" s="49"/>
      <c r="L20" s="2"/>
    </row>
    <row r="21" spans="2:12" s="1" customFormat="1" ht="101.25" customHeight="1" x14ac:dyDescent="0.25">
      <c r="B21" s="74"/>
      <c r="C21" s="77">
        <v>4</v>
      </c>
      <c r="D21" s="55"/>
      <c r="E21" s="53"/>
      <c r="F21" s="78" t="s">
        <v>24</v>
      </c>
      <c r="G21" s="53"/>
      <c r="H21" s="14"/>
      <c r="I21" s="49"/>
      <c r="L21" s="2"/>
    </row>
    <row r="22" spans="2:12" s="1" customFormat="1" x14ac:dyDescent="0.25">
      <c r="B22" s="74"/>
      <c r="C22" s="77">
        <v>3</v>
      </c>
      <c r="D22" s="55"/>
      <c r="E22" s="53"/>
      <c r="F22" s="78"/>
      <c r="G22" s="53"/>
      <c r="H22" s="14"/>
      <c r="I22" s="49"/>
      <c r="L22" s="2"/>
    </row>
    <row r="23" spans="2:12" s="1" customFormat="1" ht="15" x14ac:dyDescent="0.25">
      <c r="B23" s="75"/>
      <c r="C23" s="77">
        <v>0</v>
      </c>
      <c r="D23" s="55"/>
      <c r="E23" s="53"/>
      <c r="F23" s="71" t="s">
        <v>17</v>
      </c>
      <c r="G23" s="53"/>
      <c r="H23" s="15"/>
      <c r="I23" s="49"/>
      <c r="L23" s="2"/>
    </row>
    <row r="24" spans="2:12" s="1" customFormat="1" x14ac:dyDescent="0.25">
      <c r="H24" s="16"/>
      <c r="I24" s="3"/>
      <c r="L24" s="2"/>
    </row>
    <row r="25" spans="2:12" s="1" customFormat="1" ht="32.1" customHeight="1" x14ac:dyDescent="0.25">
      <c r="B25" s="56" t="s">
        <v>25</v>
      </c>
      <c r="C25" s="55"/>
      <c r="D25" s="55"/>
      <c r="E25" s="55"/>
      <c r="F25" s="55"/>
      <c r="G25" s="55"/>
      <c r="H25" s="55"/>
      <c r="I25" s="53"/>
      <c r="L25" s="2"/>
    </row>
    <row r="26" spans="2:12" ht="18.75" x14ac:dyDescent="0.25">
      <c r="B26" s="4" t="s">
        <v>7</v>
      </c>
      <c r="C26" s="68" t="s">
        <v>8</v>
      </c>
      <c r="D26" s="69"/>
      <c r="E26" s="69"/>
      <c r="F26" s="69"/>
      <c r="G26" s="70"/>
      <c r="H26" s="5" t="s">
        <v>9</v>
      </c>
      <c r="I26" s="5" t="s">
        <v>250</v>
      </c>
    </row>
    <row r="27" spans="2:12" ht="18.75" x14ac:dyDescent="0.25">
      <c r="B27" s="6">
        <v>2</v>
      </c>
      <c r="C27" s="54" t="s">
        <v>26</v>
      </c>
      <c r="D27" s="55"/>
      <c r="E27" s="55"/>
      <c r="F27" s="55"/>
      <c r="G27" s="53"/>
      <c r="H27" s="7"/>
      <c r="I27" s="8"/>
    </row>
    <row r="28" spans="2:12" ht="51.75" customHeight="1" x14ac:dyDescent="0.25">
      <c r="B28" s="43" t="s">
        <v>13</v>
      </c>
      <c r="C28" s="46" t="s">
        <v>27</v>
      </c>
      <c r="D28" s="47"/>
      <c r="E28" s="47"/>
      <c r="F28" s="47"/>
      <c r="G28" s="48"/>
      <c r="H28" s="10"/>
      <c r="I28" s="49"/>
    </row>
    <row r="29" spans="2:12" ht="134.25" customHeight="1" x14ac:dyDescent="0.25">
      <c r="B29" s="44"/>
      <c r="C29" s="50">
        <v>4</v>
      </c>
      <c r="D29" s="50"/>
      <c r="E29" s="51"/>
      <c r="F29" s="52" t="s">
        <v>28</v>
      </c>
      <c r="G29" s="53"/>
      <c r="H29" s="11"/>
      <c r="I29" s="49"/>
    </row>
    <row r="30" spans="2:12" ht="87" customHeight="1" x14ac:dyDescent="0.25">
      <c r="B30" s="44"/>
      <c r="C30" s="63">
        <v>3</v>
      </c>
      <c r="D30" s="50"/>
      <c r="E30" s="51"/>
      <c r="F30" s="52" t="s">
        <v>29</v>
      </c>
      <c r="G30" s="53"/>
      <c r="H30" s="11"/>
      <c r="I30" s="49"/>
    </row>
    <row r="31" spans="2:12" x14ac:dyDescent="0.25">
      <c r="B31" s="45"/>
      <c r="C31" s="50">
        <v>0</v>
      </c>
      <c r="D31" s="50"/>
      <c r="E31" s="51"/>
      <c r="F31" s="52" t="s">
        <v>17</v>
      </c>
      <c r="G31" s="53"/>
      <c r="H31" s="12"/>
      <c r="I31" s="49"/>
    </row>
    <row r="32" spans="2:12" ht="36" customHeight="1" x14ac:dyDescent="0.25">
      <c r="B32" s="43" t="s">
        <v>18</v>
      </c>
      <c r="C32" s="46" t="s">
        <v>30</v>
      </c>
      <c r="D32" s="47"/>
      <c r="E32" s="47"/>
      <c r="F32" s="47"/>
      <c r="G32" s="48"/>
      <c r="H32" s="10"/>
      <c r="I32" s="49"/>
    </row>
    <row r="33" spans="1:12" ht="153" customHeight="1" x14ac:dyDescent="0.25">
      <c r="B33" s="44"/>
      <c r="C33" s="50">
        <v>4</v>
      </c>
      <c r="D33" s="50"/>
      <c r="E33" s="50"/>
      <c r="F33" s="66" t="s">
        <v>31</v>
      </c>
      <c r="G33" s="67"/>
      <c r="H33" s="17"/>
      <c r="I33" s="49"/>
    </row>
    <row r="34" spans="1:12" ht="71.25" customHeight="1" x14ac:dyDescent="0.25">
      <c r="B34" s="44"/>
      <c r="C34" s="50">
        <v>3</v>
      </c>
      <c r="D34" s="50"/>
      <c r="E34" s="51"/>
      <c r="F34" s="66" t="s">
        <v>32</v>
      </c>
      <c r="G34" s="67"/>
      <c r="H34" s="11"/>
      <c r="I34" s="49"/>
    </row>
    <row r="35" spans="1:12" x14ac:dyDescent="0.25">
      <c r="B35" s="45"/>
      <c r="C35" s="50">
        <v>0</v>
      </c>
      <c r="D35" s="50"/>
      <c r="E35" s="51"/>
      <c r="F35" s="52"/>
      <c r="G35" s="53"/>
      <c r="H35" s="12"/>
      <c r="I35" s="49"/>
    </row>
    <row r="36" spans="1:12" ht="54.75" customHeight="1" x14ac:dyDescent="0.25">
      <c r="B36" s="43" t="s">
        <v>22</v>
      </c>
      <c r="C36" s="46" t="s">
        <v>33</v>
      </c>
      <c r="D36" s="47"/>
      <c r="E36" s="47"/>
      <c r="F36" s="47"/>
      <c r="G36" s="48"/>
      <c r="H36" s="10"/>
      <c r="I36" s="49"/>
    </row>
    <row r="37" spans="1:12" ht="66" customHeight="1" x14ac:dyDescent="0.25">
      <c r="B37" s="44"/>
      <c r="C37" s="50">
        <v>4</v>
      </c>
      <c r="D37" s="50"/>
      <c r="E37" s="51"/>
      <c r="F37" s="52" t="s">
        <v>34</v>
      </c>
      <c r="G37" s="53"/>
      <c r="H37" s="11"/>
      <c r="I37" s="49"/>
    </row>
    <row r="38" spans="1:12" s="1" customFormat="1" ht="65.099999999999994" customHeight="1" x14ac:dyDescent="0.25">
      <c r="B38" s="44"/>
      <c r="C38" s="50">
        <v>3</v>
      </c>
      <c r="D38" s="50"/>
      <c r="E38" s="51"/>
      <c r="F38" s="52" t="s">
        <v>35</v>
      </c>
      <c r="G38" s="53"/>
      <c r="H38" s="11"/>
      <c r="I38" s="49"/>
      <c r="L38" s="2"/>
    </row>
    <row r="39" spans="1:12" s="1" customFormat="1" x14ac:dyDescent="0.25">
      <c r="B39" s="45"/>
      <c r="C39" s="50">
        <v>0</v>
      </c>
      <c r="D39" s="50"/>
      <c r="E39" s="51"/>
      <c r="F39" s="52" t="s">
        <v>17</v>
      </c>
      <c r="G39" s="53"/>
      <c r="H39" s="12"/>
      <c r="I39" s="49"/>
      <c r="L39" s="2"/>
    </row>
    <row r="40" spans="1:12" ht="15" x14ac:dyDescent="0.25">
      <c r="B40" s="18"/>
      <c r="C40" s="18"/>
      <c r="D40" s="18"/>
      <c r="E40" s="18"/>
      <c r="F40" s="18"/>
      <c r="G40" s="18"/>
      <c r="H40" s="18"/>
      <c r="I40" s="18"/>
    </row>
    <row r="41" spans="1:12" s="1" customFormat="1" ht="32.1" customHeight="1" x14ac:dyDescent="0.25">
      <c r="B41" s="56" t="s">
        <v>36</v>
      </c>
      <c r="C41" s="55"/>
      <c r="D41" s="55"/>
      <c r="E41" s="55"/>
      <c r="F41" s="55"/>
      <c r="G41" s="55"/>
      <c r="H41" s="55"/>
      <c r="I41" s="53"/>
      <c r="L41" s="2"/>
    </row>
    <row r="42" spans="1:12" ht="18.75" x14ac:dyDescent="0.25">
      <c r="A42" s="42"/>
      <c r="B42" s="4" t="s">
        <v>7</v>
      </c>
      <c r="C42" s="68" t="s">
        <v>8</v>
      </c>
      <c r="D42" s="69"/>
      <c r="E42" s="69"/>
      <c r="F42" s="69"/>
      <c r="G42" s="70"/>
      <c r="H42" s="143" t="s">
        <v>9</v>
      </c>
      <c r="I42" s="146" t="s">
        <v>250</v>
      </c>
      <c r="J42" s="42"/>
      <c r="K42" s="42"/>
    </row>
    <row r="43" spans="1:12" s="1" customFormat="1" ht="18.75" x14ac:dyDescent="0.25">
      <c r="B43" s="6" t="s">
        <v>37</v>
      </c>
      <c r="C43" s="54" t="s">
        <v>38</v>
      </c>
      <c r="D43" s="55"/>
      <c r="E43" s="55"/>
      <c r="F43" s="55"/>
      <c r="G43" s="53"/>
      <c r="H43" s="144"/>
      <c r="I43" s="145"/>
      <c r="J43" s="9"/>
      <c r="L43" s="2"/>
    </row>
    <row r="44" spans="1:12" ht="34.5" customHeight="1" x14ac:dyDescent="0.25">
      <c r="B44" s="43" t="s">
        <v>13</v>
      </c>
      <c r="C44" s="46" t="s">
        <v>39</v>
      </c>
      <c r="D44" s="47"/>
      <c r="E44" s="47"/>
      <c r="F44" s="47"/>
      <c r="G44" s="48"/>
      <c r="H44" s="10"/>
      <c r="I44" s="49"/>
    </row>
    <row r="45" spans="1:12" ht="81" customHeight="1" x14ac:dyDescent="0.25">
      <c r="B45" s="44"/>
      <c r="C45" s="50">
        <v>4</v>
      </c>
      <c r="D45" s="50"/>
      <c r="E45" s="51"/>
      <c r="F45" s="52" t="s">
        <v>40</v>
      </c>
      <c r="G45" s="53"/>
      <c r="H45" s="11"/>
      <c r="I45" s="49"/>
    </row>
    <row r="46" spans="1:12" ht="64.5" customHeight="1" x14ac:dyDescent="0.25">
      <c r="B46" s="44"/>
      <c r="C46" s="50">
        <v>3</v>
      </c>
      <c r="D46" s="50"/>
      <c r="E46" s="51"/>
      <c r="F46" s="52" t="s">
        <v>41</v>
      </c>
      <c r="G46" s="53"/>
      <c r="H46" s="11"/>
      <c r="I46" s="49"/>
    </row>
    <row r="47" spans="1:12" x14ac:dyDescent="0.25">
      <c r="B47" s="45"/>
      <c r="C47" s="50">
        <v>0</v>
      </c>
      <c r="D47" s="50"/>
      <c r="E47" s="51"/>
      <c r="F47" s="52" t="s">
        <v>17</v>
      </c>
      <c r="G47" s="53"/>
      <c r="H47" s="12"/>
      <c r="I47" s="49"/>
    </row>
    <row r="48" spans="1:12" ht="36" customHeight="1" x14ac:dyDescent="0.25">
      <c r="B48" s="43" t="s">
        <v>18</v>
      </c>
      <c r="C48" s="46" t="s">
        <v>42</v>
      </c>
      <c r="D48" s="47"/>
      <c r="E48" s="47"/>
      <c r="F48" s="47"/>
      <c r="G48" s="48"/>
      <c r="H48" s="10"/>
      <c r="I48" s="49"/>
    </row>
    <row r="49" spans="1:12" ht="83.1" customHeight="1" x14ac:dyDescent="0.25">
      <c r="B49" s="44"/>
      <c r="C49" s="50">
        <v>4</v>
      </c>
      <c r="D49" s="50"/>
      <c r="E49" s="51"/>
      <c r="F49" s="52" t="s">
        <v>43</v>
      </c>
      <c r="G49" s="53"/>
      <c r="H49" s="11"/>
      <c r="I49" s="49"/>
    </row>
    <row r="50" spans="1:12" ht="54.75" customHeight="1" x14ac:dyDescent="0.25">
      <c r="B50" s="44"/>
      <c r="C50" s="50">
        <v>3</v>
      </c>
      <c r="D50" s="50"/>
      <c r="E50" s="51"/>
      <c r="F50" s="52" t="s">
        <v>44</v>
      </c>
      <c r="G50" s="53"/>
      <c r="H50" s="11"/>
      <c r="I50" s="49"/>
    </row>
    <row r="51" spans="1:12" x14ac:dyDescent="0.25">
      <c r="B51" s="45"/>
      <c r="C51" s="50">
        <v>0</v>
      </c>
      <c r="D51" s="50"/>
      <c r="E51" s="51"/>
      <c r="F51" s="52" t="s">
        <v>17</v>
      </c>
      <c r="G51" s="53"/>
      <c r="H51" s="12"/>
      <c r="I51" s="49"/>
    </row>
    <row r="52" spans="1:12" ht="33.75" customHeight="1" x14ac:dyDescent="0.25">
      <c r="B52" s="43" t="s">
        <v>22</v>
      </c>
      <c r="C52" s="46" t="s">
        <v>45</v>
      </c>
      <c r="D52" s="47"/>
      <c r="E52" s="47"/>
      <c r="F52" s="47"/>
      <c r="G52" s="48"/>
      <c r="H52" s="10"/>
      <c r="I52" s="49"/>
    </row>
    <row r="53" spans="1:12" ht="68.25" customHeight="1" x14ac:dyDescent="0.25">
      <c r="B53" s="44"/>
      <c r="C53" s="50">
        <v>4</v>
      </c>
      <c r="D53" s="50"/>
      <c r="E53" s="51"/>
      <c r="F53" s="52" t="s">
        <v>46</v>
      </c>
      <c r="G53" s="53"/>
      <c r="H53" s="11"/>
      <c r="I53" s="49"/>
    </row>
    <row r="54" spans="1:12" s="1" customFormat="1" ht="39" customHeight="1" x14ac:dyDescent="0.25">
      <c r="B54" s="44"/>
      <c r="C54" s="50">
        <v>3</v>
      </c>
      <c r="D54" s="50"/>
      <c r="E54" s="51"/>
      <c r="F54" s="52" t="s">
        <v>47</v>
      </c>
      <c r="G54" s="53"/>
      <c r="H54" s="11"/>
      <c r="I54" s="49"/>
      <c r="L54" s="2"/>
    </row>
    <row r="55" spans="1:12" s="1" customFormat="1" x14ac:dyDescent="0.25">
      <c r="B55" s="45"/>
      <c r="C55" s="50">
        <v>0</v>
      </c>
      <c r="D55" s="50"/>
      <c r="E55" s="51"/>
      <c r="F55" s="52"/>
      <c r="G55" s="53"/>
      <c r="H55" s="12"/>
      <c r="I55" s="49"/>
      <c r="L55" s="2"/>
    </row>
    <row r="56" spans="1:12" s="1" customFormat="1" ht="15" x14ac:dyDescent="0.25">
      <c r="L56" s="2"/>
    </row>
    <row r="57" spans="1:12" s="1" customFormat="1" ht="32.1" customHeight="1" x14ac:dyDescent="0.25">
      <c r="B57" s="56" t="s">
        <v>48</v>
      </c>
      <c r="C57" s="55"/>
      <c r="D57" s="55"/>
      <c r="E57" s="55"/>
      <c r="F57" s="55"/>
      <c r="G57" s="55"/>
      <c r="H57" s="55"/>
      <c r="I57" s="53"/>
      <c r="L57" s="2"/>
    </row>
    <row r="58" spans="1:12" ht="18.75" x14ac:dyDescent="0.25">
      <c r="A58" s="42"/>
      <c r="B58" s="4" t="s">
        <v>7</v>
      </c>
      <c r="C58" s="68" t="s">
        <v>8</v>
      </c>
      <c r="D58" s="69"/>
      <c r="E58" s="69"/>
      <c r="F58" s="69"/>
      <c r="G58" s="70"/>
      <c r="H58" s="143" t="s">
        <v>9</v>
      </c>
      <c r="I58" s="146" t="s">
        <v>250</v>
      </c>
      <c r="J58" s="42"/>
      <c r="K58" s="42"/>
    </row>
    <row r="59" spans="1:12" s="1" customFormat="1" ht="18.75" x14ac:dyDescent="0.25">
      <c r="B59" s="6" t="s">
        <v>49</v>
      </c>
      <c r="C59" s="54" t="s">
        <v>50</v>
      </c>
      <c r="D59" s="55"/>
      <c r="E59" s="55"/>
      <c r="F59" s="55"/>
      <c r="G59" s="53"/>
      <c r="H59" s="7"/>
      <c r="I59" s="5"/>
      <c r="J59" s="9"/>
      <c r="L59" s="2"/>
    </row>
    <row r="60" spans="1:12" s="1" customFormat="1" ht="35.25" customHeight="1" x14ac:dyDescent="0.25">
      <c r="B60" s="43" t="s">
        <v>13</v>
      </c>
      <c r="C60" s="46" t="s">
        <v>51</v>
      </c>
      <c r="D60" s="47"/>
      <c r="E60" s="47"/>
      <c r="F60" s="47"/>
      <c r="G60" s="48"/>
      <c r="H60" s="10"/>
      <c r="I60" s="49"/>
      <c r="L60" s="2"/>
    </row>
    <row r="61" spans="1:12" s="1" customFormat="1" ht="114" customHeight="1" x14ac:dyDescent="0.25">
      <c r="B61" s="44"/>
      <c r="C61" s="50">
        <v>4</v>
      </c>
      <c r="D61" s="50"/>
      <c r="E61" s="51"/>
      <c r="F61" s="52" t="s">
        <v>52</v>
      </c>
      <c r="G61" s="53"/>
      <c r="H61" s="11"/>
      <c r="I61" s="49"/>
      <c r="L61" s="2"/>
    </row>
    <row r="62" spans="1:12" s="1" customFormat="1" ht="54.75" customHeight="1" x14ac:dyDescent="0.25">
      <c r="B62" s="44"/>
      <c r="C62" s="50">
        <v>3</v>
      </c>
      <c r="D62" s="50"/>
      <c r="E62" s="51"/>
      <c r="F62" s="52" t="s">
        <v>53</v>
      </c>
      <c r="G62" s="53"/>
      <c r="H62" s="11"/>
      <c r="I62" s="49"/>
      <c r="L62" s="2"/>
    </row>
    <row r="63" spans="1:12" s="1" customFormat="1" x14ac:dyDescent="0.25">
      <c r="B63" s="45"/>
      <c r="C63" s="50">
        <v>0</v>
      </c>
      <c r="D63" s="50"/>
      <c r="E63" s="51"/>
      <c r="F63" s="52" t="s">
        <v>17</v>
      </c>
      <c r="G63" s="53"/>
      <c r="H63" s="12"/>
      <c r="I63" s="49"/>
      <c r="L63" s="2"/>
    </row>
    <row r="64" spans="1:12" s="1" customFormat="1" ht="34.5" customHeight="1" x14ac:dyDescent="0.25">
      <c r="B64" s="43" t="s">
        <v>18</v>
      </c>
      <c r="C64" s="46" t="s">
        <v>54</v>
      </c>
      <c r="D64" s="47"/>
      <c r="E64" s="47"/>
      <c r="F64" s="47"/>
      <c r="G64" s="48"/>
      <c r="H64" s="10"/>
      <c r="I64" s="49"/>
      <c r="L64" s="2"/>
    </row>
    <row r="65" spans="1:12" s="1" customFormat="1" ht="62.1" customHeight="1" x14ac:dyDescent="0.25">
      <c r="B65" s="44"/>
      <c r="C65" s="50">
        <v>4</v>
      </c>
      <c r="D65" s="50"/>
      <c r="E65" s="51"/>
      <c r="F65" s="52" t="s">
        <v>55</v>
      </c>
      <c r="G65" s="53"/>
      <c r="H65" s="11"/>
      <c r="I65" s="49"/>
      <c r="L65" s="2"/>
    </row>
    <row r="66" spans="1:12" s="1" customFormat="1" ht="50.1" customHeight="1" x14ac:dyDescent="0.25">
      <c r="B66" s="44"/>
      <c r="C66" s="50">
        <v>3</v>
      </c>
      <c r="D66" s="50"/>
      <c r="E66" s="51"/>
      <c r="F66" s="52" t="s">
        <v>56</v>
      </c>
      <c r="G66" s="53"/>
      <c r="H66" s="11"/>
      <c r="I66" s="49"/>
      <c r="L66" s="2"/>
    </row>
    <row r="67" spans="1:12" s="1" customFormat="1" x14ac:dyDescent="0.25">
      <c r="B67" s="45"/>
      <c r="C67" s="50">
        <v>0</v>
      </c>
      <c r="D67" s="50"/>
      <c r="E67" s="51"/>
      <c r="F67" s="52" t="s">
        <v>17</v>
      </c>
      <c r="G67" s="53"/>
      <c r="H67" s="12"/>
      <c r="I67" s="49"/>
      <c r="L67" s="2"/>
    </row>
    <row r="68" spans="1:12" s="1" customFormat="1" ht="49.5" customHeight="1" x14ac:dyDescent="0.25">
      <c r="B68" s="43" t="s">
        <v>22</v>
      </c>
      <c r="C68" s="46" t="s">
        <v>57</v>
      </c>
      <c r="D68" s="47"/>
      <c r="E68" s="47"/>
      <c r="F68" s="47"/>
      <c r="G68" s="48"/>
      <c r="H68" s="10"/>
      <c r="I68" s="49"/>
      <c r="L68" s="2"/>
    </row>
    <row r="69" spans="1:12" s="1" customFormat="1" ht="132" customHeight="1" x14ac:dyDescent="0.25">
      <c r="B69" s="44"/>
      <c r="C69" s="50">
        <v>4</v>
      </c>
      <c r="D69" s="50"/>
      <c r="E69" s="51"/>
      <c r="F69" s="52" t="s">
        <v>58</v>
      </c>
      <c r="G69" s="53"/>
      <c r="H69" s="11"/>
      <c r="I69" s="49"/>
      <c r="L69" s="2"/>
    </row>
    <row r="70" spans="1:12" s="1" customFormat="1" ht="81.75" customHeight="1" x14ac:dyDescent="0.25">
      <c r="B70" s="44"/>
      <c r="C70" s="50">
        <v>3</v>
      </c>
      <c r="D70" s="50"/>
      <c r="E70" s="51"/>
      <c r="F70" s="52" t="s">
        <v>59</v>
      </c>
      <c r="G70" s="53"/>
      <c r="H70" s="11"/>
      <c r="I70" s="49"/>
      <c r="L70" s="2"/>
    </row>
    <row r="71" spans="1:12" s="1" customFormat="1" x14ac:dyDescent="0.25">
      <c r="B71" s="45"/>
      <c r="C71" s="50">
        <v>0</v>
      </c>
      <c r="D71" s="50"/>
      <c r="E71" s="51"/>
      <c r="F71" s="52" t="s">
        <v>17</v>
      </c>
      <c r="G71" s="53"/>
      <c r="H71" s="12"/>
      <c r="I71" s="49"/>
      <c r="L71" s="2"/>
    </row>
    <row r="72" spans="1:12" s="1" customFormat="1" ht="15" x14ac:dyDescent="0.25">
      <c r="B72" s="18"/>
      <c r="C72" s="18"/>
      <c r="D72" s="18"/>
      <c r="E72" s="18"/>
      <c r="F72" s="18"/>
      <c r="G72" s="18"/>
      <c r="H72" s="18"/>
      <c r="I72" s="18"/>
      <c r="L72" s="2"/>
    </row>
    <row r="73" spans="1:12" s="1" customFormat="1" ht="32.1" customHeight="1" x14ac:dyDescent="0.25">
      <c r="B73" s="56" t="s">
        <v>60</v>
      </c>
      <c r="C73" s="55"/>
      <c r="D73" s="55"/>
      <c r="E73" s="55"/>
      <c r="F73" s="55"/>
      <c r="G73" s="55"/>
      <c r="H73" s="55"/>
      <c r="I73" s="53"/>
      <c r="L73" s="2"/>
    </row>
    <row r="74" spans="1:12" ht="18.75" x14ac:dyDescent="0.25">
      <c r="A74" s="42"/>
      <c r="B74" s="4" t="s">
        <v>7</v>
      </c>
      <c r="C74" s="68" t="s">
        <v>8</v>
      </c>
      <c r="D74" s="69"/>
      <c r="E74" s="69"/>
      <c r="F74" s="69"/>
      <c r="G74" s="70"/>
      <c r="H74" s="143" t="s">
        <v>9</v>
      </c>
      <c r="I74" s="146" t="s">
        <v>250</v>
      </c>
      <c r="J74" s="42"/>
      <c r="K74" s="42"/>
    </row>
    <row r="75" spans="1:12" s="1" customFormat="1" ht="18.75" x14ac:dyDescent="0.25">
      <c r="B75" s="6" t="s">
        <v>61</v>
      </c>
      <c r="C75" s="54" t="s">
        <v>62</v>
      </c>
      <c r="D75" s="55"/>
      <c r="E75" s="55"/>
      <c r="F75" s="55"/>
      <c r="G75" s="53"/>
      <c r="H75" s="7"/>
      <c r="I75" s="5"/>
      <c r="J75" s="9"/>
      <c r="L75" s="2"/>
    </row>
    <row r="76" spans="1:12" s="1" customFormat="1" ht="34.5" customHeight="1" x14ac:dyDescent="0.25">
      <c r="B76" s="43" t="s">
        <v>13</v>
      </c>
      <c r="C76" s="46" t="s">
        <v>63</v>
      </c>
      <c r="D76" s="47"/>
      <c r="E76" s="47"/>
      <c r="F76" s="47"/>
      <c r="G76" s="48"/>
      <c r="H76" s="10"/>
      <c r="I76" s="49"/>
      <c r="L76" s="2"/>
    </row>
    <row r="77" spans="1:12" s="1" customFormat="1" ht="66" customHeight="1" x14ac:dyDescent="0.25">
      <c r="B77" s="44"/>
      <c r="C77" s="50">
        <v>4</v>
      </c>
      <c r="D77" s="50"/>
      <c r="E77" s="51"/>
      <c r="F77" s="52" t="s">
        <v>64</v>
      </c>
      <c r="G77" s="53"/>
      <c r="H77" s="11"/>
      <c r="I77" s="49"/>
      <c r="L77" s="2"/>
    </row>
    <row r="78" spans="1:12" s="1" customFormat="1" ht="36" customHeight="1" x14ac:dyDescent="0.25">
      <c r="B78" s="44"/>
      <c r="C78" s="50">
        <v>3</v>
      </c>
      <c r="D78" s="50"/>
      <c r="E78" s="51"/>
      <c r="F78" s="52" t="s">
        <v>65</v>
      </c>
      <c r="G78" s="53"/>
      <c r="H78" s="11"/>
      <c r="I78" s="49"/>
      <c r="L78" s="2"/>
    </row>
    <row r="79" spans="1:12" s="1" customFormat="1" x14ac:dyDescent="0.25">
      <c r="B79" s="45"/>
      <c r="C79" s="50">
        <v>0</v>
      </c>
      <c r="D79" s="50"/>
      <c r="E79" s="51"/>
      <c r="F79" s="52" t="s">
        <v>17</v>
      </c>
      <c r="G79" s="53"/>
      <c r="H79" s="12"/>
      <c r="I79" s="49"/>
      <c r="L79" s="2"/>
    </row>
    <row r="80" spans="1:12" s="1" customFormat="1" ht="36" customHeight="1" x14ac:dyDescent="0.25">
      <c r="B80" s="43" t="s">
        <v>18</v>
      </c>
      <c r="C80" s="46" t="s">
        <v>66</v>
      </c>
      <c r="D80" s="47"/>
      <c r="E80" s="47"/>
      <c r="F80" s="47"/>
      <c r="G80" s="48"/>
      <c r="H80" s="10"/>
      <c r="I80" s="49"/>
      <c r="L80" s="2"/>
    </row>
    <row r="81" spans="2:12" s="1" customFormat="1" ht="114" customHeight="1" x14ac:dyDescent="0.25">
      <c r="B81" s="44"/>
      <c r="C81" s="50">
        <v>4</v>
      </c>
      <c r="D81" s="50"/>
      <c r="E81" s="51"/>
      <c r="F81" s="52" t="s">
        <v>67</v>
      </c>
      <c r="G81" s="53"/>
      <c r="H81" s="11"/>
      <c r="I81" s="49"/>
      <c r="L81" s="2"/>
    </row>
    <row r="82" spans="2:12" s="1" customFormat="1" ht="69" customHeight="1" x14ac:dyDescent="0.25">
      <c r="B82" s="44"/>
      <c r="C82" s="50">
        <v>3</v>
      </c>
      <c r="D82" s="50"/>
      <c r="E82" s="51"/>
      <c r="F82" s="52" t="s">
        <v>68</v>
      </c>
      <c r="G82" s="53"/>
      <c r="H82" s="11"/>
      <c r="I82" s="49"/>
      <c r="L82" s="2"/>
    </row>
    <row r="83" spans="2:12" s="1" customFormat="1" x14ac:dyDescent="0.25">
      <c r="B83" s="45"/>
      <c r="C83" s="50">
        <v>0</v>
      </c>
      <c r="D83" s="50"/>
      <c r="E83" s="51"/>
      <c r="F83" s="52" t="s">
        <v>17</v>
      </c>
      <c r="G83" s="53"/>
      <c r="H83" s="12"/>
      <c r="I83" s="49"/>
      <c r="L83" s="2"/>
    </row>
    <row r="84" spans="2:12" s="1" customFormat="1" ht="31.5" customHeight="1" x14ac:dyDescent="0.25">
      <c r="B84" s="43" t="s">
        <v>22</v>
      </c>
      <c r="C84" s="46" t="s">
        <v>69</v>
      </c>
      <c r="D84" s="47"/>
      <c r="E84" s="47"/>
      <c r="F84" s="47"/>
      <c r="G84" s="48"/>
      <c r="H84" s="10"/>
      <c r="I84" s="49"/>
      <c r="L84" s="2"/>
    </row>
    <row r="85" spans="2:12" s="1" customFormat="1" ht="83.1" customHeight="1" x14ac:dyDescent="0.25">
      <c r="B85" s="44"/>
      <c r="C85" s="50">
        <v>4</v>
      </c>
      <c r="D85" s="50"/>
      <c r="E85" s="51"/>
      <c r="F85" s="52" t="s">
        <v>70</v>
      </c>
      <c r="G85" s="53"/>
      <c r="H85" s="11"/>
      <c r="I85" s="49"/>
      <c r="L85" s="2"/>
    </row>
    <row r="86" spans="2:12" s="1" customFormat="1" ht="53.1" customHeight="1" x14ac:dyDescent="0.25">
      <c r="B86" s="44"/>
      <c r="C86" s="50">
        <v>3</v>
      </c>
      <c r="D86" s="50"/>
      <c r="E86" s="51"/>
      <c r="F86" s="52" t="s">
        <v>71</v>
      </c>
      <c r="G86" s="53"/>
      <c r="H86" s="11"/>
      <c r="I86" s="49"/>
      <c r="L86" s="2"/>
    </row>
    <row r="87" spans="2:12" s="1" customFormat="1" x14ac:dyDescent="0.25">
      <c r="B87" s="45"/>
      <c r="C87" s="50">
        <v>0</v>
      </c>
      <c r="D87" s="50"/>
      <c r="E87" s="51"/>
      <c r="F87" s="52" t="s">
        <v>17</v>
      </c>
      <c r="G87" s="53"/>
      <c r="H87" s="12"/>
      <c r="I87" s="49"/>
      <c r="L87" s="2"/>
    </row>
    <row r="88" spans="2:12" s="1" customFormat="1" ht="18.75" x14ac:dyDescent="0.25">
      <c r="B88" s="6" t="s">
        <v>72</v>
      </c>
      <c r="C88" s="54" t="s">
        <v>73</v>
      </c>
      <c r="D88" s="55"/>
      <c r="E88" s="55"/>
      <c r="F88" s="55"/>
      <c r="G88" s="53"/>
      <c r="H88" s="7"/>
      <c r="I88" s="5" t="s">
        <v>250</v>
      </c>
      <c r="J88" s="9"/>
      <c r="L88" s="2"/>
    </row>
    <row r="89" spans="2:12" s="1" customFormat="1" ht="36.75" customHeight="1" x14ac:dyDescent="0.25">
      <c r="B89" s="43" t="s">
        <v>13</v>
      </c>
      <c r="C89" s="46" t="s">
        <v>74</v>
      </c>
      <c r="D89" s="47"/>
      <c r="E89" s="47"/>
      <c r="F89" s="47"/>
      <c r="G89" s="48"/>
      <c r="H89" s="10"/>
      <c r="I89" s="49"/>
      <c r="L89" s="2"/>
    </row>
    <row r="90" spans="2:12" s="1" customFormat="1" ht="63" customHeight="1" x14ac:dyDescent="0.25">
      <c r="B90" s="44"/>
      <c r="C90" s="50">
        <v>4</v>
      </c>
      <c r="D90" s="50"/>
      <c r="E90" s="51"/>
      <c r="F90" s="52" t="s">
        <v>75</v>
      </c>
      <c r="G90" s="53"/>
      <c r="H90" s="11"/>
      <c r="I90" s="49"/>
      <c r="L90" s="2"/>
    </row>
    <row r="91" spans="2:12" s="1" customFormat="1" ht="36" customHeight="1" x14ac:dyDescent="0.25">
      <c r="B91" s="44"/>
      <c r="C91" s="50">
        <v>3</v>
      </c>
      <c r="D91" s="50"/>
      <c r="E91" s="51"/>
      <c r="F91" s="52" t="s">
        <v>76</v>
      </c>
      <c r="G91" s="53"/>
      <c r="H91" s="11"/>
      <c r="I91" s="49"/>
      <c r="L91" s="2"/>
    </row>
    <row r="92" spans="2:12" s="1" customFormat="1" x14ac:dyDescent="0.25">
      <c r="B92" s="45"/>
      <c r="C92" s="50">
        <v>0</v>
      </c>
      <c r="D92" s="50"/>
      <c r="E92" s="51"/>
      <c r="F92" s="52" t="s">
        <v>17</v>
      </c>
      <c r="G92" s="53"/>
      <c r="H92" s="12"/>
      <c r="I92" s="49"/>
      <c r="L92" s="2"/>
    </row>
    <row r="93" spans="2:12" s="1" customFormat="1" ht="18.75" x14ac:dyDescent="0.25">
      <c r="B93" s="43" t="s">
        <v>18</v>
      </c>
      <c r="C93" s="46" t="s">
        <v>77</v>
      </c>
      <c r="D93" s="47"/>
      <c r="E93" s="47"/>
      <c r="F93" s="47"/>
      <c r="G93" s="48"/>
      <c r="H93" s="10"/>
      <c r="I93" s="49"/>
      <c r="L93" s="2"/>
    </row>
    <row r="94" spans="2:12" s="1" customFormat="1" ht="32.25" customHeight="1" x14ac:dyDescent="0.25">
      <c r="B94" s="44"/>
      <c r="C94" s="50">
        <v>4</v>
      </c>
      <c r="D94" s="50"/>
      <c r="E94" s="51"/>
      <c r="F94" s="52" t="s">
        <v>78</v>
      </c>
      <c r="G94" s="53"/>
      <c r="H94" s="11"/>
      <c r="I94" s="49"/>
      <c r="L94" s="2"/>
    </row>
    <row r="95" spans="2:12" s="1" customFormat="1" ht="32.25" customHeight="1" x14ac:dyDescent="0.25">
      <c r="B95" s="44"/>
      <c r="C95" s="50">
        <v>3</v>
      </c>
      <c r="D95" s="50"/>
      <c r="E95" s="51"/>
      <c r="F95" s="52" t="s">
        <v>79</v>
      </c>
      <c r="G95" s="53"/>
      <c r="H95" s="11"/>
      <c r="I95" s="49"/>
      <c r="L95" s="2"/>
    </row>
    <row r="96" spans="2:12" s="1" customFormat="1" x14ac:dyDescent="0.25">
      <c r="B96" s="45"/>
      <c r="C96" s="50">
        <v>0</v>
      </c>
      <c r="D96" s="50"/>
      <c r="E96" s="51"/>
      <c r="F96" s="52" t="s">
        <v>17</v>
      </c>
      <c r="G96" s="53"/>
      <c r="H96" s="12"/>
      <c r="I96" s="49"/>
      <c r="L96" s="2"/>
    </row>
    <row r="97" spans="1:12" s="1" customFormat="1" ht="18.75" x14ac:dyDescent="0.25">
      <c r="B97" s="6" t="s">
        <v>80</v>
      </c>
      <c r="C97" s="54" t="s">
        <v>81</v>
      </c>
      <c r="D97" s="55"/>
      <c r="E97" s="55"/>
      <c r="F97" s="55"/>
      <c r="G97" s="53"/>
      <c r="H97" s="7"/>
      <c r="I97" s="5" t="s">
        <v>250</v>
      </c>
      <c r="J97" s="9"/>
      <c r="L97" s="2"/>
    </row>
    <row r="98" spans="1:12" s="1" customFormat="1" ht="49.5" customHeight="1" x14ac:dyDescent="0.25">
      <c r="B98" s="43" t="s">
        <v>13</v>
      </c>
      <c r="C98" s="46" t="s">
        <v>82</v>
      </c>
      <c r="D98" s="47"/>
      <c r="E98" s="47"/>
      <c r="F98" s="47"/>
      <c r="G98" s="48"/>
      <c r="H98" s="10"/>
      <c r="I98" s="49"/>
      <c r="L98" s="2"/>
    </row>
    <row r="99" spans="1:12" s="1" customFormat="1" ht="64.5" customHeight="1" x14ac:dyDescent="0.25">
      <c r="B99" s="44"/>
      <c r="C99" s="50">
        <v>4</v>
      </c>
      <c r="D99" s="50"/>
      <c r="E99" s="51"/>
      <c r="F99" s="52" t="s">
        <v>83</v>
      </c>
      <c r="G99" s="53"/>
      <c r="H99" s="11"/>
      <c r="I99" s="49"/>
      <c r="L99" s="2"/>
    </row>
    <row r="100" spans="1:12" s="1" customFormat="1" ht="39.75" customHeight="1" x14ac:dyDescent="0.25">
      <c r="B100" s="44"/>
      <c r="C100" s="50">
        <v>3</v>
      </c>
      <c r="D100" s="50"/>
      <c r="E100" s="51"/>
      <c r="F100" s="52" t="s">
        <v>84</v>
      </c>
      <c r="G100" s="53"/>
      <c r="H100" s="11"/>
      <c r="I100" s="49"/>
      <c r="L100" s="2"/>
    </row>
    <row r="101" spans="1:12" s="1" customFormat="1" x14ac:dyDescent="0.25">
      <c r="B101" s="45"/>
      <c r="C101" s="50">
        <v>0</v>
      </c>
      <c r="D101" s="50"/>
      <c r="E101" s="51"/>
      <c r="F101" s="52" t="s">
        <v>17</v>
      </c>
      <c r="G101" s="53"/>
      <c r="H101" s="12"/>
      <c r="I101" s="49"/>
      <c r="L101" s="2"/>
    </row>
    <row r="102" spans="1:12" s="1" customFormat="1" ht="49.5" customHeight="1" x14ac:dyDescent="0.25">
      <c r="B102" s="43" t="s">
        <v>18</v>
      </c>
      <c r="C102" s="46" t="s">
        <v>85</v>
      </c>
      <c r="D102" s="47"/>
      <c r="E102" s="47"/>
      <c r="F102" s="47"/>
      <c r="G102" s="48"/>
      <c r="H102" s="10"/>
      <c r="I102" s="49"/>
      <c r="L102" s="2"/>
    </row>
    <row r="103" spans="1:12" s="1" customFormat="1" ht="64.5" customHeight="1" x14ac:dyDescent="0.25">
      <c r="B103" s="44"/>
      <c r="C103" s="50">
        <v>4</v>
      </c>
      <c r="D103" s="50"/>
      <c r="E103" s="51"/>
      <c r="F103" s="52" t="s">
        <v>86</v>
      </c>
      <c r="G103" s="53"/>
      <c r="H103" s="11"/>
      <c r="I103" s="49"/>
      <c r="L103" s="2"/>
    </row>
    <row r="104" spans="1:12" s="1" customFormat="1" ht="39.75" customHeight="1" x14ac:dyDescent="0.25">
      <c r="B104" s="44"/>
      <c r="C104" s="50">
        <v>3</v>
      </c>
      <c r="D104" s="50"/>
      <c r="E104" s="51"/>
      <c r="F104" s="52" t="s">
        <v>87</v>
      </c>
      <c r="G104" s="53"/>
      <c r="H104" s="11"/>
      <c r="I104" s="49"/>
      <c r="L104" s="2"/>
    </row>
    <row r="105" spans="1:12" s="1" customFormat="1" x14ac:dyDescent="0.25">
      <c r="B105" s="45"/>
      <c r="C105" s="50">
        <v>0</v>
      </c>
      <c r="D105" s="50"/>
      <c r="E105" s="51"/>
      <c r="F105" s="52" t="s">
        <v>17</v>
      </c>
      <c r="G105" s="53"/>
      <c r="H105" s="12"/>
      <c r="I105" s="49"/>
      <c r="L105" s="2"/>
    </row>
    <row r="106" spans="1:12" s="1" customFormat="1" ht="15" x14ac:dyDescent="0.25">
      <c r="B106" s="18"/>
      <c r="C106" s="18"/>
      <c r="D106" s="18"/>
      <c r="E106" s="18"/>
      <c r="F106" s="18"/>
      <c r="G106" s="18"/>
      <c r="H106" s="18"/>
      <c r="I106" s="18"/>
      <c r="L106" s="2"/>
    </row>
    <row r="107" spans="1:12" s="1" customFormat="1" ht="32.1" customHeight="1" x14ac:dyDescent="0.25">
      <c r="B107" s="57" t="s">
        <v>88</v>
      </c>
      <c r="C107" s="58"/>
      <c r="D107" s="58"/>
      <c r="E107" s="58"/>
      <c r="F107" s="58"/>
      <c r="G107" s="58"/>
      <c r="H107" s="58"/>
      <c r="I107" s="59"/>
      <c r="L107" s="2"/>
    </row>
    <row r="108" spans="1:12" ht="18.75" x14ac:dyDescent="0.25">
      <c r="A108" s="42"/>
      <c r="B108" s="4" t="s">
        <v>7</v>
      </c>
      <c r="C108" s="68" t="s">
        <v>8</v>
      </c>
      <c r="D108" s="69"/>
      <c r="E108" s="69"/>
      <c r="F108" s="69"/>
      <c r="G108" s="70"/>
      <c r="H108" s="143" t="s">
        <v>9</v>
      </c>
      <c r="I108" s="146" t="s">
        <v>250</v>
      </c>
      <c r="J108" s="42"/>
      <c r="K108" s="42"/>
    </row>
    <row r="109" spans="1:12" s="42" customFormat="1" ht="18.75" x14ac:dyDescent="0.25">
      <c r="B109" s="6">
        <v>6</v>
      </c>
      <c r="C109" s="54" t="s">
        <v>251</v>
      </c>
      <c r="D109" s="55"/>
      <c r="E109" s="55"/>
      <c r="F109" s="55"/>
      <c r="G109" s="53"/>
      <c r="H109" s="7"/>
      <c r="I109" s="5"/>
      <c r="J109" s="9"/>
      <c r="L109" s="2"/>
    </row>
    <row r="110" spans="1:12" s="1" customFormat="1" ht="35.25" customHeight="1" x14ac:dyDescent="0.25">
      <c r="B110" s="43" t="s">
        <v>13</v>
      </c>
      <c r="C110" s="60" t="s">
        <v>89</v>
      </c>
      <c r="D110" s="61"/>
      <c r="E110" s="61"/>
      <c r="F110" s="61"/>
      <c r="G110" s="62"/>
      <c r="H110" s="10"/>
      <c r="I110" s="49"/>
      <c r="L110" s="2"/>
    </row>
    <row r="111" spans="1:12" s="1" customFormat="1" ht="51" customHeight="1" x14ac:dyDescent="0.25">
      <c r="B111" s="44"/>
      <c r="C111" s="63">
        <v>4</v>
      </c>
      <c r="D111" s="50"/>
      <c r="E111" s="51"/>
      <c r="F111" s="64" t="s">
        <v>90</v>
      </c>
      <c r="G111" s="65"/>
      <c r="H111" s="11"/>
      <c r="I111" s="49"/>
      <c r="L111" s="2"/>
    </row>
    <row r="112" spans="1:12" s="1" customFormat="1" ht="54" customHeight="1" x14ac:dyDescent="0.25">
      <c r="B112" s="45"/>
      <c r="C112" s="50">
        <v>0</v>
      </c>
      <c r="D112" s="50"/>
      <c r="E112" s="51"/>
      <c r="F112" s="64" t="s">
        <v>91</v>
      </c>
      <c r="G112" s="65"/>
      <c r="H112" s="12"/>
      <c r="I112" s="49"/>
      <c r="L112" s="2"/>
    </row>
    <row r="113" spans="1:12" s="1" customFormat="1" ht="48" customHeight="1" x14ac:dyDescent="0.25">
      <c r="B113" s="43" t="s">
        <v>18</v>
      </c>
      <c r="C113" s="46" t="s">
        <v>92</v>
      </c>
      <c r="D113" s="47"/>
      <c r="E113" s="47"/>
      <c r="F113" s="47"/>
      <c r="G113" s="48"/>
      <c r="H113" s="10"/>
      <c r="I113" s="49"/>
      <c r="L113" s="2"/>
    </row>
    <row r="114" spans="1:12" s="1" customFormat="1" ht="176.1" customHeight="1" x14ac:dyDescent="0.25">
      <c r="B114" s="44"/>
      <c r="C114" s="50">
        <v>4</v>
      </c>
      <c r="D114" s="50"/>
      <c r="E114" s="51"/>
      <c r="F114" s="52" t="s">
        <v>93</v>
      </c>
      <c r="G114" s="53"/>
      <c r="H114" s="11"/>
      <c r="I114" s="49"/>
      <c r="L114" s="2"/>
    </row>
    <row r="115" spans="1:12" s="1" customFormat="1" ht="134.25" customHeight="1" x14ac:dyDescent="0.25">
      <c r="B115" s="44"/>
      <c r="C115" s="50">
        <v>3</v>
      </c>
      <c r="D115" s="50"/>
      <c r="E115" s="51"/>
      <c r="F115" s="52" t="s">
        <v>94</v>
      </c>
      <c r="G115" s="53"/>
      <c r="H115" s="11"/>
      <c r="I115" s="49"/>
      <c r="L115" s="2"/>
    </row>
    <row r="116" spans="1:12" s="1" customFormat="1" x14ac:dyDescent="0.25">
      <c r="B116" s="45"/>
      <c r="C116" s="50">
        <v>0</v>
      </c>
      <c r="D116" s="50"/>
      <c r="E116" s="51"/>
      <c r="F116" s="52"/>
      <c r="G116" s="53"/>
      <c r="H116" s="12"/>
      <c r="I116" s="49"/>
      <c r="L116" s="2"/>
    </row>
    <row r="118" spans="1:12" s="1" customFormat="1" ht="32.1" customHeight="1" x14ac:dyDescent="0.25">
      <c r="B118" s="56" t="s">
        <v>95</v>
      </c>
      <c r="C118" s="55"/>
      <c r="D118" s="55"/>
      <c r="E118" s="55"/>
      <c r="F118" s="55"/>
      <c r="G118" s="55"/>
      <c r="H118" s="55"/>
      <c r="I118" s="53"/>
      <c r="L118" s="2"/>
    </row>
    <row r="119" spans="1:12" ht="18.75" x14ac:dyDescent="0.25">
      <c r="A119" s="42"/>
      <c r="B119" s="4" t="s">
        <v>7</v>
      </c>
      <c r="C119" s="68" t="s">
        <v>8</v>
      </c>
      <c r="D119" s="69"/>
      <c r="E119" s="69"/>
      <c r="F119" s="69"/>
      <c r="G119" s="70"/>
      <c r="H119" s="143" t="s">
        <v>9</v>
      </c>
      <c r="I119" s="146" t="s">
        <v>250</v>
      </c>
      <c r="J119" s="42"/>
      <c r="K119" s="42"/>
    </row>
    <row r="120" spans="1:12" s="42" customFormat="1" ht="18.75" x14ac:dyDescent="0.25">
      <c r="B120" s="6">
        <v>7</v>
      </c>
      <c r="C120" s="54" t="s">
        <v>252</v>
      </c>
      <c r="D120" s="55"/>
      <c r="E120" s="55"/>
      <c r="F120" s="55"/>
      <c r="G120" s="53"/>
      <c r="H120" s="7"/>
      <c r="I120" s="5"/>
      <c r="J120" s="9"/>
      <c r="L120" s="2"/>
    </row>
    <row r="121" spans="1:12" s="1" customFormat="1" ht="40.5" customHeight="1" x14ac:dyDescent="0.25">
      <c r="B121" s="43" t="s">
        <v>13</v>
      </c>
      <c r="C121" s="46" t="s">
        <v>96</v>
      </c>
      <c r="D121" s="47"/>
      <c r="E121" s="47"/>
      <c r="F121" s="47"/>
      <c r="G121" s="48"/>
      <c r="H121" s="10"/>
      <c r="I121" s="49"/>
      <c r="L121" s="2"/>
    </row>
    <row r="122" spans="1:12" s="1" customFormat="1" ht="192.95" customHeight="1" x14ac:dyDescent="0.25">
      <c r="B122" s="44"/>
      <c r="C122" s="50">
        <v>4</v>
      </c>
      <c r="D122" s="50"/>
      <c r="E122" s="51"/>
      <c r="F122" s="52" t="s">
        <v>97</v>
      </c>
      <c r="G122" s="53"/>
      <c r="H122" s="11"/>
      <c r="I122" s="49"/>
      <c r="L122" s="2"/>
    </row>
    <row r="123" spans="1:12" s="1" customFormat="1" ht="115.5" customHeight="1" x14ac:dyDescent="0.25">
      <c r="B123" s="44"/>
      <c r="C123" s="50">
        <v>3</v>
      </c>
      <c r="D123" s="50"/>
      <c r="E123" s="51"/>
      <c r="F123" s="52" t="s">
        <v>98</v>
      </c>
      <c r="G123" s="53"/>
      <c r="H123" s="11"/>
      <c r="I123" s="49"/>
      <c r="L123" s="2"/>
    </row>
    <row r="124" spans="1:12" s="1" customFormat="1" x14ac:dyDescent="0.25">
      <c r="B124" s="45"/>
      <c r="C124" s="50">
        <v>0</v>
      </c>
      <c r="D124" s="50"/>
      <c r="E124" s="51"/>
      <c r="F124" s="52"/>
      <c r="G124" s="53"/>
      <c r="H124" s="12"/>
      <c r="I124" s="49"/>
      <c r="L124" s="2"/>
    </row>
    <row r="125" spans="1:12" s="1" customFormat="1" ht="35.25" customHeight="1" x14ac:dyDescent="0.25">
      <c r="B125" s="43" t="s">
        <v>18</v>
      </c>
      <c r="C125" s="46" t="s">
        <v>99</v>
      </c>
      <c r="D125" s="47"/>
      <c r="E125" s="47"/>
      <c r="F125" s="47"/>
      <c r="G125" s="48"/>
      <c r="H125" s="10"/>
      <c r="I125" s="49"/>
      <c r="L125" s="2"/>
    </row>
    <row r="126" spans="1:12" s="1" customFormat="1" ht="147" customHeight="1" x14ac:dyDescent="0.25">
      <c r="B126" s="44"/>
      <c r="C126" s="50">
        <v>4</v>
      </c>
      <c r="D126" s="50"/>
      <c r="E126" s="51"/>
      <c r="F126" s="52" t="s">
        <v>100</v>
      </c>
      <c r="G126" s="53"/>
      <c r="H126" s="11"/>
      <c r="I126" s="49"/>
      <c r="L126" s="2"/>
    </row>
    <row r="127" spans="1:12" s="1" customFormat="1" x14ac:dyDescent="0.25">
      <c r="B127" s="45"/>
      <c r="C127" s="50">
        <v>0</v>
      </c>
      <c r="D127" s="50"/>
      <c r="E127" s="51"/>
      <c r="F127" s="52"/>
      <c r="G127" s="53"/>
      <c r="H127" s="12"/>
      <c r="I127" s="49"/>
      <c r="L127" s="2"/>
    </row>
    <row r="129" spans="1:12" s="1" customFormat="1" ht="32.1" customHeight="1" x14ac:dyDescent="0.25">
      <c r="B129" s="56" t="s">
        <v>101</v>
      </c>
      <c r="C129" s="55"/>
      <c r="D129" s="55"/>
      <c r="E129" s="55"/>
      <c r="F129" s="55"/>
      <c r="G129" s="55"/>
      <c r="H129" s="55"/>
      <c r="I129" s="53"/>
      <c r="L129" s="2"/>
    </row>
    <row r="130" spans="1:12" ht="18.75" x14ac:dyDescent="0.25">
      <c r="A130" s="42"/>
      <c r="B130" s="4" t="s">
        <v>7</v>
      </c>
      <c r="C130" s="68" t="s">
        <v>8</v>
      </c>
      <c r="D130" s="69"/>
      <c r="E130" s="69"/>
      <c r="F130" s="69"/>
      <c r="G130" s="70"/>
      <c r="H130" s="143" t="s">
        <v>9</v>
      </c>
      <c r="I130" s="146" t="s">
        <v>250</v>
      </c>
      <c r="J130" s="42"/>
      <c r="K130" s="42"/>
    </row>
    <row r="131" spans="1:12" s="42" customFormat="1" ht="18.75" x14ac:dyDescent="0.25">
      <c r="B131" s="6">
        <v>7</v>
      </c>
      <c r="C131" s="54" t="s">
        <v>253</v>
      </c>
      <c r="D131" s="55"/>
      <c r="E131" s="55"/>
      <c r="F131" s="55"/>
      <c r="G131" s="53"/>
      <c r="H131" s="7"/>
      <c r="I131" s="5"/>
      <c r="J131" s="9"/>
      <c r="L131" s="2"/>
    </row>
    <row r="132" spans="1:12" s="1" customFormat="1" ht="34.5" customHeight="1" x14ac:dyDescent="0.25">
      <c r="B132" s="43" t="s">
        <v>13</v>
      </c>
      <c r="C132" s="46" t="s">
        <v>102</v>
      </c>
      <c r="D132" s="47"/>
      <c r="E132" s="47"/>
      <c r="F132" s="47"/>
      <c r="G132" s="48"/>
      <c r="H132" s="10"/>
      <c r="I132" s="49"/>
      <c r="L132" s="2"/>
    </row>
    <row r="133" spans="1:12" s="1" customFormat="1" ht="79.5" customHeight="1" x14ac:dyDescent="0.25">
      <c r="B133" s="44"/>
      <c r="C133" s="50">
        <v>4</v>
      </c>
      <c r="D133" s="50"/>
      <c r="E133" s="51"/>
      <c r="F133" s="52" t="s">
        <v>103</v>
      </c>
      <c r="G133" s="53"/>
      <c r="H133" s="11"/>
      <c r="I133" s="49"/>
      <c r="L133" s="2"/>
    </row>
    <row r="134" spans="1:12" s="1" customFormat="1" ht="50.25" customHeight="1" x14ac:dyDescent="0.25">
      <c r="B134" s="44"/>
      <c r="C134" s="50">
        <v>3</v>
      </c>
      <c r="D134" s="50"/>
      <c r="E134" s="51"/>
      <c r="F134" s="52" t="s">
        <v>104</v>
      </c>
      <c r="G134" s="53"/>
      <c r="H134" s="11"/>
      <c r="I134" s="49"/>
      <c r="L134" s="2"/>
    </row>
    <row r="135" spans="1:12" s="1" customFormat="1" x14ac:dyDescent="0.25">
      <c r="B135" s="45"/>
      <c r="C135" s="50">
        <v>0</v>
      </c>
      <c r="D135" s="50"/>
      <c r="E135" s="51"/>
      <c r="F135" s="52"/>
      <c r="G135" s="53"/>
      <c r="H135" s="12"/>
      <c r="I135" s="49"/>
      <c r="L135" s="2"/>
    </row>
    <row r="136" spans="1:12" s="1" customFormat="1" ht="18.75" x14ac:dyDescent="0.25">
      <c r="B136" s="43" t="s">
        <v>18</v>
      </c>
      <c r="C136" s="46" t="s">
        <v>105</v>
      </c>
      <c r="D136" s="47"/>
      <c r="E136" s="47"/>
      <c r="F136" s="47"/>
      <c r="G136" s="48"/>
      <c r="H136" s="10"/>
      <c r="I136" s="49"/>
      <c r="L136" s="2"/>
    </row>
    <row r="137" spans="1:12" s="1" customFormat="1" ht="48.75" customHeight="1" x14ac:dyDescent="0.25">
      <c r="B137" s="44"/>
      <c r="C137" s="50">
        <v>4</v>
      </c>
      <c r="D137" s="50"/>
      <c r="E137" s="51"/>
      <c r="F137" s="52" t="s">
        <v>106</v>
      </c>
      <c r="G137" s="53"/>
      <c r="H137" s="11"/>
      <c r="I137" s="49"/>
      <c r="L137" s="2"/>
    </row>
    <row r="138" spans="1:12" s="1" customFormat="1" x14ac:dyDescent="0.25">
      <c r="B138" s="45"/>
      <c r="C138" s="50">
        <v>0</v>
      </c>
      <c r="D138" s="50"/>
      <c r="E138" s="51"/>
      <c r="F138" s="52"/>
      <c r="G138" s="53"/>
      <c r="H138" s="12"/>
      <c r="I138" s="49"/>
      <c r="L138" s="2"/>
    </row>
    <row r="139" spans="1:12" s="1" customFormat="1" ht="34.5" customHeight="1" x14ac:dyDescent="0.25">
      <c r="B139" s="43" t="s">
        <v>22</v>
      </c>
      <c r="C139" s="46" t="s">
        <v>107</v>
      </c>
      <c r="D139" s="47"/>
      <c r="E139" s="47"/>
      <c r="F139" s="47"/>
      <c r="G139" s="48"/>
      <c r="H139" s="10"/>
      <c r="I139" s="49"/>
      <c r="L139" s="2"/>
    </row>
    <row r="140" spans="1:12" s="1" customFormat="1" ht="84" customHeight="1" x14ac:dyDescent="0.25">
      <c r="B140" s="44"/>
      <c r="C140" s="50">
        <v>4</v>
      </c>
      <c r="D140" s="50"/>
      <c r="E140" s="51"/>
      <c r="F140" s="52" t="s">
        <v>108</v>
      </c>
      <c r="G140" s="53"/>
      <c r="H140" s="11"/>
      <c r="I140" s="49"/>
      <c r="L140" s="2"/>
    </row>
    <row r="141" spans="1:12" s="1" customFormat="1" ht="53.25" customHeight="1" x14ac:dyDescent="0.25">
      <c r="B141" s="44"/>
      <c r="C141" s="50">
        <v>3</v>
      </c>
      <c r="D141" s="50"/>
      <c r="E141" s="51"/>
      <c r="F141" s="52" t="s">
        <v>109</v>
      </c>
      <c r="G141" s="53"/>
      <c r="H141" s="11"/>
      <c r="I141" s="49"/>
      <c r="L141" s="2"/>
    </row>
    <row r="142" spans="1:12" s="1" customFormat="1" x14ac:dyDescent="0.25">
      <c r="B142" s="45"/>
      <c r="C142" s="50">
        <v>0</v>
      </c>
      <c r="D142" s="50"/>
      <c r="E142" s="51"/>
      <c r="F142" s="52" t="s">
        <v>17</v>
      </c>
      <c r="G142" s="53"/>
      <c r="H142" s="12"/>
      <c r="I142" s="49"/>
      <c r="L142" s="2"/>
    </row>
  </sheetData>
  <mergeCells count="259">
    <mergeCell ref="C109:G109"/>
    <mergeCell ref="C120:G120"/>
    <mergeCell ref="C131:G131"/>
    <mergeCell ref="C42:G42"/>
    <mergeCell ref="C58:G58"/>
    <mergeCell ref="C74:G74"/>
    <mergeCell ref="C108:G108"/>
    <mergeCell ref="C119:G119"/>
    <mergeCell ref="C130:G130"/>
    <mergeCell ref="B3:I3"/>
    <mergeCell ref="B4:F6"/>
    <mergeCell ref="B16:B19"/>
    <mergeCell ref="C16:G16"/>
    <mergeCell ref="B2:I2"/>
    <mergeCell ref="B7:I7"/>
    <mergeCell ref="B9:I9"/>
    <mergeCell ref="C10:G10"/>
    <mergeCell ref="C11:G11"/>
    <mergeCell ref="B12:B15"/>
    <mergeCell ref="C12:G12"/>
    <mergeCell ref="I12:I15"/>
    <mergeCell ref="C13:E13"/>
    <mergeCell ref="F13:G13"/>
    <mergeCell ref="I16:I19"/>
    <mergeCell ref="C17:E17"/>
    <mergeCell ref="F17:G17"/>
    <mergeCell ref="C18:E18"/>
    <mergeCell ref="F18:G18"/>
    <mergeCell ref="C19:E19"/>
    <mergeCell ref="F19:G19"/>
    <mergeCell ref="C14:E14"/>
    <mergeCell ref="F14:G14"/>
    <mergeCell ref="C15:E15"/>
    <mergeCell ref="F15:G15"/>
    <mergeCell ref="G8:I8"/>
    <mergeCell ref="B20:B23"/>
    <mergeCell ref="C20:G20"/>
    <mergeCell ref="I20:I23"/>
    <mergeCell ref="C21:E21"/>
    <mergeCell ref="F21:G21"/>
    <mergeCell ref="C22:E22"/>
    <mergeCell ref="F22:G22"/>
    <mergeCell ref="C23:E23"/>
    <mergeCell ref="F23:G23"/>
    <mergeCell ref="B25:I25"/>
    <mergeCell ref="C26:G26"/>
    <mergeCell ref="C27:G27"/>
    <mergeCell ref="B28:B31"/>
    <mergeCell ref="C28:G28"/>
    <mergeCell ref="I28:I31"/>
    <mergeCell ref="C29:E29"/>
    <mergeCell ref="F29:G29"/>
    <mergeCell ref="C30:E30"/>
    <mergeCell ref="F30:G30"/>
    <mergeCell ref="C31:E31"/>
    <mergeCell ref="F31:G31"/>
    <mergeCell ref="B32:B35"/>
    <mergeCell ref="C32:G32"/>
    <mergeCell ref="I32:I35"/>
    <mergeCell ref="C33:E33"/>
    <mergeCell ref="F33:G33"/>
    <mergeCell ref="C34:E34"/>
    <mergeCell ref="F34:G34"/>
    <mergeCell ref="C35:E35"/>
    <mergeCell ref="C43:G43"/>
    <mergeCell ref="F35:G35"/>
    <mergeCell ref="B36:B39"/>
    <mergeCell ref="C36:G36"/>
    <mergeCell ref="I36:I39"/>
    <mergeCell ref="C37:E37"/>
    <mergeCell ref="F37:G37"/>
    <mergeCell ref="C38:E38"/>
    <mergeCell ref="F38:G38"/>
    <mergeCell ref="C39:E39"/>
    <mergeCell ref="F39:G39"/>
    <mergeCell ref="B41:I41"/>
    <mergeCell ref="B44:B47"/>
    <mergeCell ref="C44:G44"/>
    <mergeCell ref="I44:I47"/>
    <mergeCell ref="C45:E45"/>
    <mergeCell ref="F45:G45"/>
    <mergeCell ref="C46:E46"/>
    <mergeCell ref="F46:G46"/>
    <mergeCell ref="C47:E47"/>
    <mergeCell ref="F47:G47"/>
    <mergeCell ref="B48:B51"/>
    <mergeCell ref="C48:G48"/>
    <mergeCell ref="I48:I51"/>
    <mergeCell ref="C49:E49"/>
    <mergeCell ref="F49:G49"/>
    <mergeCell ref="C50:E50"/>
    <mergeCell ref="F50:G50"/>
    <mergeCell ref="C51:E51"/>
    <mergeCell ref="F51:G51"/>
    <mergeCell ref="B52:B55"/>
    <mergeCell ref="C52:G52"/>
    <mergeCell ref="I52:I55"/>
    <mergeCell ref="C53:E53"/>
    <mergeCell ref="F53:G53"/>
    <mergeCell ref="C54:E54"/>
    <mergeCell ref="F54:G54"/>
    <mergeCell ref="C55:E55"/>
    <mergeCell ref="F55:G55"/>
    <mergeCell ref="B60:B63"/>
    <mergeCell ref="C60:G60"/>
    <mergeCell ref="I60:I63"/>
    <mergeCell ref="C61:E61"/>
    <mergeCell ref="F61:G61"/>
    <mergeCell ref="C62:E62"/>
    <mergeCell ref="F62:G62"/>
    <mergeCell ref="C63:E63"/>
    <mergeCell ref="F63:G63"/>
    <mergeCell ref="B64:B67"/>
    <mergeCell ref="C64:G64"/>
    <mergeCell ref="I64:I67"/>
    <mergeCell ref="C65:E65"/>
    <mergeCell ref="F65:G65"/>
    <mergeCell ref="C66:E66"/>
    <mergeCell ref="F66:G66"/>
    <mergeCell ref="C67:E67"/>
    <mergeCell ref="F67:G67"/>
    <mergeCell ref="C78:E78"/>
    <mergeCell ref="F78:G78"/>
    <mergeCell ref="C79:E79"/>
    <mergeCell ref="F79:G79"/>
    <mergeCell ref="B68:B71"/>
    <mergeCell ref="C68:G68"/>
    <mergeCell ref="I68:I71"/>
    <mergeCell ref="C69:E69"/>
    <mergeCell ref="F69:G69"/>
    <mergeCell ref="C70:E70"/>
    <mergeCell ref="F70:G70"/>
    <mergeCell ref="C71:E71"/>
    <mergeCell ref="F71:G71"/>
    <mergeCell ref="C75:G75"/>
    <mergeCell ref="B76:B79"/>
    <mergeCell ref="C76:G76"/>
    <mergeCell ref="I76:I79"/>
    <mergeCell ref="C77:E77"/>
    <mergeCell ref="F77:G77"/>
    <mergeCell ref="F111:G111"/>
    <mergeCell ref="F112:G112"/>
    <mergeCell ref="C112:E112"/>
    <mergeCell ref="B84:B87"/>
    <mergeCell ref="C84:G84"/>
    <mergeCell ref="I84:I87"/>
    <mergeCell ref="C85:E85"/>
    <mergeCell ref="F85:G85"/>
    <mergeCell ref="C86:E86"/>
    <mergeCell ref="F86:G86"/>
    <mergeCell ref="C87:E87"/>
    <mergeCell ref="F87:G87"/>
    <mergeCell ref="C88:G88"/>
    <mergeCell ref="B89:B92"/>
    <mergeCell ref="C89:G89"/>
    <mergeCell ref="I89:I92"/>
    <mergeCell ref="C90:E90"/>
    <mergeCell ref="F90:G90"/>
    <mergeCell ref="C91:E91"/>
    <mergeCell ref="F91:G91"/>
    <mergeCell ref="C92:E92"/>
    <mergeCell ref="F92:G92"/>
    <mergeCell ref="B93:B96"/>
    <mergeCell ref="C93:G93"/>
    <mergeCell ref="B57:I57"/>
    <mergeCell ref="B73:I73"/>
    <mergeCell ref="B118:I118"/>
    <mergeCell ref="B121:B124"/>
    <mergeCell ref="C121:G121"/>
    <mergeCell ref="I121:I124"/>
    <mergeCell ref="C122:E122"/>
    <mergeCell ref="F122:G122"/>
    <mergeCell ref="C123:E123"/>
    <mergeCell ref="B113:B116"/>
    <mergeCell ref="C113:G113"/>
    <mergeCell ref="I113:I116"/>
    <mergeCell ref="C114:E114"/>
    <mergeCell ref="F114:G114"/>
    <mergeCell ref="C115:E115"/>
    <mergeCell ref="F115:G115"/>
    <mergeCell ref="C116:E116"/>
    <mergeCell ref="F116:G116"/>
    <mergeCell ref="B107:I107"/>
    <mergeCell ref="B110:B112"/>
    <mergeCell ref="C110:G110"/>
    <mergeCell ref="I110:I112"/>
    <mergeCell ref="C111:E111"/>
    <mergeCell ref="C59:G59"/>
    <mergeCell ref="C127:E127"/>
    <mergeCell ref="F127:G127"/>
    <mergeCell ref="F123:G123"/>
    <mergeCell ref="C124:E124"/>
    <mergeCell ref="F124:G124"/>
    <mergeCell ref="B125:B127"/>
    <mergeCell ref="C125:G125"/>
    <mergeCell ref="I125:I127"/>
    <mergeCell ref="C126:E126"/>
    <mergeCell ref="F126:G126"/>
    <mergeCell ref="F135:G135"/>
    <mergeCell ref="B136:B138"/>
    <mergeCell ref="C136:G136"/>
    <mergeCell ref="I136:I138"/>
    <mergeCell ref="C137:E137"/>
    <mergeCell ref="F137:G137"/>
    <mergeCell ref="C138:E138"/>
    <mergeCell ref="F138:G138"/>
    <mergeCell ref="B129:I129"/>
    <mergeCell ref="B132:B135"/>
    <mergeCell ref="C132:G132"/>
    <mergeCell ref="I132:I135"/>
    <mergeCell ref="C133:E133"/>
    <mergeCell ref="F133:G133"/>
    <mergeCell ref="C134:E134"/>
    <mergeCell ref="F134:G134"/>
    <mergeCell ref="C135:E135"/>
    <mergeCell ref="B139:B142"/>
    <mergeCell ref="C139:G139"/>
    <mergeCell ref="I139:I142"/>
    <mergeCell ref="C140:E140"/>
    <mergeCell ref="F140:G140"/>
    <mergeCell ref="C141:E141"/>
    <mergeCell ref="F141:G141"/>
    <mergeCell ref="C142:E142"/>
    <mergeCell ref="F142:G142"/>
    <mergeCell ref="B80:B83"/>
    <mergeCell ref="C80:G80"/>
    <mergeCell ref="I80:I83"/>
    <mergeCell ref="C81:E81"/>
    <mergeCell ref="F81:G81"/>
    <mergeCell ref="C82:E82"/>
    <mergeCell ref="F82:G82"/>
    <mergeCell ref="C83:E83"/>
    <mergeCell ref="F83:G83"/>
    <mergeCell ref="I93:I96"/>
    <mergeCell ref="C94:E94"/>
    <mergeCell ref="F94:G94"/>
    <mergeCell ref="C95:E95"/>
    <mergeCell ref="F95:G95"/>
    <mergeCell ref="C96:E96"/>
    <mergeCell ref="C97:G97"/>
    <mergeCell ref="F96:G96"/>
    <mergeCell ref="B98:B101"/>
    <mergeCell ref="C98:G98"/>
    <mergeCell ref="I98:I101"/>
    <mergeCell ref="C99:E99"/>
    <mergeCell ref="F99:G99"/>
    <mergeCell ref="C100:E100"/>
    <mergeCell ref="F100:G100"/>
    <mergeCell ref="C101:E101"/>
    <mergeCell ref="F101:G101"/>
    <mergeCell ref="B102:B105"/>
    <mergeCell ref="C102:G102"/>
    <mergeCell ref="I102:I105"/>
    <mergeCell ref="C103:E103"/>
    <mergeCell ref="F103:G103"/>
    <mergeCell ref="C104:E104"/>
    <mergeCell ref="F104:G104"/>
    <mergeCell ref="C105:E105"/>
    <mergeCell ref="F105:G105"/>
  </mergeCells>
  <hyperlinks>
    <hyperlink ref="G5" r:id="rId1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Sheet1!$B$2:$B$3</xm:f>
          </x14:formula1>
          <xm:sqref>G8:I8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4</v>
      </c>
    </row>
    <row r="3" spans="2:2" x14ac:dyDescent="0.25">
      <c r="B3" t="s">
        <v>110</v>
      </c>
    </row>
    <row r="5" spans="2:2" x14ac:dyDescent="0.25">
      <c r="B5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showGridLines="0" topLeftCell="A6" zoomScale="80" zoomScaleNormal="80" zoomScalePageLayoutView="80" workbookViewId="0">
      <selection activeCell="L41" sqref="L41"/>
    </sheetView>
  </sheetViews>
  <sheetFormatPr defaultRowHeight="15" x14ac:dyDescent="0.25"/>
  <cols>
    <col min="1" max="1" width="3.85546875" bestFit="1" customWidth="1"/>
    <col min="2" max="2" width="14.140625" customWidth="1"/>
    <col min="3" max="3" width="10.7109375" customWidth="1"/>
    <col min="5" max="5" width="15.7109375" customWidth="1"/>
    <col min="6" max="6" width="20.140625" customWidth="1"/>
    <col min="7" max="7" width="6.7109375" customWidth="1"/>
    <col min="8" max="9" width="7.7109375" customWidth="1"/>
  </cols>
  <sheetData>
    <row r="1" spans="1:9" ht="15.75" thickBot="1" x14ac:dyDescent="0.3">
      <c r="I1" s="21" t="s">
        <v>112</v>
      </c>
    </row>
    <row r="2" spans="1:9" ht="15.75" customHeight="1" x14ac:dyDescent="0.25">
      <c r="A2" s="120"/>
      <c r="B2" s="121"/>
      <c r="C2" s="126" t="s">
        <v>113</v>
      </c>
      <c r="D2" s="126"/>
      <c r="E2" s="126"/>
      <c r="F2" s="126"/>
      <c r="G2" s="126"/>
      <c r="H2" s="22"/>
      <c r="I2" s="23"/>
    </row>
    <row r="3" spans="1:9" ht="15.75" customHeight="1" x14ac:dyDescent="0.25">
      <c r="A3" s="122"/>
      <c r="B3" s="123"/>
      <c r="C3" s="127"/>
      <c r="D3" s="127"/>
      <c r="E3" s="127"/>
      <c r="F3" s="127"/>
      <c r="G3" s="127"/>
      <c r="H3" s="129" t="s">
        <v>114</v>
      </c>
      <c r="I3" s="130"/>
    </row>
    <row r="4" spans="1:9" ht="22.5" customHeight="1" x14ac:dyDescent="0.25">
      <c r="A4" s="122"/>
      <c r="B4" s="123"/>
      <c r="C4" s="127"/>
      <c r="D4" s="127"/>
      <c r="E4" s="127"/>
      <c r="F4" s="128"/>
      <c r="G4" s="128"/>
      <c r="H4" s="131" t="s">
        <v>115</v>
      </c>
      <c r="I4" s="132"/>
    </row>
    <row r="5" spans="1:9" ht="15.75" customHeight="1" x14ac:dyDescent="0.25">
      <c r="A5" s="122"/>
      <c r="B5" s="123"/>
      <c r="C5" s="24" t="s">
        <v>116</v>
      </c>
      <c r="D5" s="133" t="s">
        <v>117</v>
      </c>
      <c r="E5" s="134"/>
      <c r="F5" s="135">
        <f>'Audit Mandiri_IAU LAMKES'!G8</f>
        <v>0</v>
      </c>
      <c r="G5" s="136"/>
      <c r="H5" s="137" t="s">
        <v>118</v>
      </c>
      <c r="I5" s="138"/>
    </row>
    <row r="6" spans="1:9" ht="16.5" customHeight="1" thickBot="1" x14ac:dyDescent="0.3">
      <c r="A6" s="124"/>
      <c r="B6" s="125"/>
      <c r="C6" s="139" t="s">
        <v>119</v>
      </c>
      <c r="D6" s="139"/>
      <c r="E6" s="140" t="s">
        <v>120</v>
      </c>
      <c r="F6" s="141"/>
      <c r="G6" s="141"/>
      <c r="H6" s="125"/>
      <c r="I6" s="142"/>
    </row>
    <row r="7" spans="1:9" x14ac:dyDescent="0.25">
      <c r="A7" s="85"/>
      <c r="B7" s="85"/>
      <c r="C7" s="85"/>
      <c r="D7" s="85"/>
      <c r="E7" s="85"/>
      <c r="F7" s="85"/>
      <c r="G7" s="85"/>
      <c r="H7" s="85"/>
      <c r="I7" s="85"/>
    </row>
    <row r="8" spans="1:9" x14ac:dyDescent="0.25">
      <c r="A8" s="118" t="s">
        <v>121</v>
      </c>
      <c r="B8" s="118"/>
      <c r="C8" s="118"/>
      <c r="D8" s="118"/>
      <c r="E8" s="118"/>
      <c r="F8" s="118"/>
      <c r="G8" s="118"/>
      <c r="H8" s="118"/>
      <c r="I8" s="118"/>
    </row>
    <row r="9" spans="1:9" x14ac:dyDescent="0.25">
      <c r="A9" s="118" t="s">
        <v>122</v>
      </c>
      <c r="B9" s="118"/>
      <c r="C9" s="118"/>
      <c r="D9" s="118"/>
      <c r="E9" s="118"/>
      <c r="F9" s="118"/>
      <c r="G9" s="118"/>
      <c r="H9" s="118"/>
      <c r="I9" s="118"/>
    </row>
    <row r="10" spans="1:9" x14ac:dyDescent="0.25">
      <c r="A10" s="119" t="s">
        <v>123</v>
      </c>
      <c r="B10" s="119" t="s">
        <v>124</v>
      </c>
      <c r="C10" s="119"/>
      <c r="D10" s="119"/>
      <c r="E10" s="90" t="s">
        <v>125</v>
      </c>
      <c r="F10" s="90"/>
      <c r="G10" s="119" t="s">
        <v>126</v>
      </c>
      <c r="H10" s="90" t="s">
        <v>127</v>
      </c>
      <c r="I10" s="90"/>
    </row>
    <row r="11" spans="1:9" x14ac:dyDescent="0.25">
      <c r="A11" s="119"/>
      <c r="B11" s="119"/>
      <c r="C11" s="119"/>
      <c r="D11" s="119"/>
      <c r="E11" s="90"/>
      <c r="F11" s="90"/>
      <c r="G11" s="119"/>
      <c r="H11" s="90"/>
      <c r="I11" s="90"/>
    </row>
    <row r="12" spans="1:9" ht="164.1" customHeight="1" x14ac:dyDescent="0.25">
      <c r="A12" s="26" t="s">
        <v>128</v>
      </c>
      <c r="B12" s="91" t="str">
        <f>'Audit Mandiri_IAU LAMKES'!C12</f>
        <v>Bagaimana mekanisme penyusunan visi, misi, dan unggulan program studi dan alasannya?</v>
      </c>
      <c r="C12" s="91"/>
      <c r="D12" s="91"/>
      <c r="E12" s="89">
        <f>'Audit Mandiri_IAU LAMKES'!I12</f>
        <v>0</v>
      </c>
      <c r="F12" s="89"/>
      <c r="G12" s="27">
        <f>'Audit Mandiri_IAU LAMKES'!H12</f>
        <v>0</v>
      </c>
      <c r="H12" s="90" t="str">
        <f>IF(G12=4,"Mencapai",IF(G12=3,"Belum Mencapai","Tidak Mencapai"))</f>
        <v>Tidak Mencapai</v>
      </c>
      <c r="I12" s="90"/>
    </row>
    <row r="13" spans="1:9" ht="164.1" customHeight="1" x14ac:dyDescent="0.25">
      <c r="A13" s="26" t="s">
        <v>129</v>
      </c>
      <c r="B13" s="91" t="str">
        <f>'Audit Mandiri_IAU LAMKES'!C16</f>
        <v>Bagaimana peran visi, misi, dan unggulan dalam  perencanaan,  implementasi, monitoring, penjaminan mutu, dan manajemen di program studi?</v>
      </c>
      <c r="C13" s="91"/>
      <c r="D13" s="91"/>
      <c r="E13" s="89">
        <f>'Audit Mandiri_IAU LAMKES'!I16</f>
        <v>0</v>
      </c>
      <c r="F13" s="89"/>
      <c r="G13" s="27">
        <f>'Audit Mandiri_IAU LAMKES'!H16</f>
        <v>0</v>
      </c>
      <c r="H13" s="90" t="str">
        <f t="shared" ref="H13:H38" si="0">IF(G13=4,"Mencapai",IF(G13=3,"Belum Mencapai","Tidak Mencapai"))</f>
        <v>Tidak Mencapai</v>
      </c>
      <c r="I13" s="90"/>
    </row>
    <row r="14" spans="1:9" ht="164.1" customHeight="1" x14ac:dyDescent="0.25">
      <c r="A14" s="26" t="s">
        <v>130</v>
      </c>
      <c r="B14" s="91" t="str">
        <f>'Audit Mandiri_IAU LAMKES'!C20</f>
        <v>Bagaimana cara menyosialisasikan visi, misi, dan unggulan program studi, analisis hasil dan tindaklanjutnya?</v>
      </c>
      <c r="C14" s="91"/>
      <c r="D14" s="91"/>
      <c r="E14" s="89">
        <f>'Audit Mandiri_IAU LAMKES'!I20</f>
        <v>0</v>
      </c>
      <c r="F14" s="89"/>
      <c r="G14" s="27">
        <f>'Audit Mandiri_IAU LAMKES'!H20</f>
        <v>0</v>
      </c>
      <c r="H14" s="90" t="str">
        <f t="shared" si="0"/>
        <v>Tidak Mencapai</v>
      </c>
      <c r="I14" s="90"/>
    </row>
    <row r="15" spans="1:9" ht="231" customHeight="1" x14ac:dyDescent="0.25">
      <c r="A15" s="26" t="s">
        <v>131</v>
      </c>
      <c r="B15" s="91" t="str">
        <f>'Audit Mandiri_IAU LAMKES'!C28</f>
        <v>Bagaimana cara merancang dan mengembangkan capaian pembelajaran lulusan dan capaian pembelajaran mata kuliah?</v>
      </c>
      <c r="C15" s="91"/>
      <c r="D15" s="91"/>
      <c r="E15" s="89">
        <f>'Audit Mandiri_IAU LAMKES'!I28</f>
        <v>0</v>
      </c>
      <c r="F15" s="89"/>
      <c r="G15" s="27">
        <f>'Audit Mandiri_IAU LAMKES'!H28</f>
        <v>0</v>
      </c>
      <c r="H15" s="90" t="str">
        <f t="shared" si="0"/>
        <v>Tidak Mencapai</v>
      </c>
      <c r="I15" s="90"/>
    </row>
    <row r="16" spans="1:9" ht="164.1" customHeight="1" x14ac:dyDescent="0.25">
      <c r="A16" s="26" t="s">
        <v>132</v>
      </c>
      <c r="B16" s="91" t="str">
        <f>'Audit Mandiri_IAU LAMKES'!C32</f>
        <v>Bagaimana hubungan antara berbagai disiplin ilmu yang tercakup dalam kurikulum?</v>
      </c>
      <c r="C16" s="91"/>
      <c r="D16" s="91"/>
      <c r="E16" s="89">
        <f>'Audit Mandiri_IAU LAMKES'!I32</f>
        <v>0</v>
      </c>
      <c r="F16" s="89"/>
      <c r="G16" s="27">
        <f>'Audit Mandiri_IAU LAMKES'!H32</f>
        <v>0</v>
      </c>
      <c r="H16" s="90" t="str">
        <f t="shared" si="0"/>
        <v>Tidak Mencapai</v>
      </c>
      <c r="I16" s="90"/>
    </row>
    <row r="17" spans="1:9" ht="164.1" customHeight="1" x14ac:dyDescent="0.25">
      <c r="A17" s="26" t="s">
        <v>133</v>
      </c>
      <c r="B17" s="91" t="str">
        <f>'Audit Mandiri_IAU LAMKES'!C36</f>
        <v>Elemen apa saja dari ilmu biomedis dan sains farmasi yang dimasukkan dalam kurikulum? Bagaimana pilihan pilihan yang dibuat dan waktu yang dialokasikan untuk elemen ini?</v>
      </c>
      <c r="C17" s="91"/>
      <c r="D17" s="91"/>
      <c r="E17" s="89">
        <f>'Audit Mandiri_IAU LAMKES'!I36</f>
        <v>0</v>
      </c>
      <c r="F17" s="89"/>
      <c r="G17" s="27">
        <f>'Audit Mandiri_IAU LAMKES'!H36</f>
        <v>0</v>
      </c>
      <c r="H17" s="90" t="str">
        <f t="shared" si="0"/>
        <v>Tidak Mencapai</v>
      </c>
      <c r="I17" s="90"/>
    </row>
    <row r="18" spans="1:9" ht="164.1" customHeight="1" x14ac:dyDescent="0.25">
      <c r="A18" s="26" t="s">
        <v>134</v>
      </c>
      <c r="B18" s="91" t="str">
        <f>'Audit Mandiri_IAU LAMKES'!C44</f>
        <v>Bagaimana penilaian capaian pembelajaran lulusan yang digunakan oleh PS?</v>
      </c>
      <c r="C18" s="91"/>
      <c r="D18" s="91"/>
      <c r="E18" s="89">
        <f>'Audit Mandiri_IAU LAMKES'!I44</f>
        <v>0</v>
      </c>
      <c r="F18" s="89"/>
      <c r="G18" s="27">
        <f>'Audit Mandiri_IAU LAMKES'!H44</f>
        <v>0</v>
      </c>
      <c r="H18" s="90" t="str">
        <f t="shared" si="0"/>
        <v>Tidak Mencapai</v>
      </c>
      <c r="I18" s="90"/>
    </row>
    <row r="19" spans="1:9" ht="164.1" customHeight="1" x14ac:dyDescent="0.25">
      <c r="A19" s="26" t="s">
        <v>135</v>
      </c>
      <c r="B19" s="91" t="str">
        <f>'Audit Mandiri_IAU LAMKES'!C48</f>
        <v xml:space="preserve">Bagaimana penilaian digunakan sebagai pedoman untuk menentukan perkembangan pembelajaran mahasiswa? </v>
      </c>
      <c r="C19" s="91"/>
      <c r="D19" s="91"/>
      <c r="E19" s="89">
        <f>'Audit Mandiri_IAU LAMKES'!I48</f>
        <v>0</v>
      </c>
      <c r="F19" s="89"/>
      <c r="G19" s="27">
        <f>'Audit Mandiri_IAU LAMKES'!H48</f>
        <v>0</v>
      </c>
      <c r="H19" s="90" t="str">
        <f t="shared" si="0"/>
        <v>Tidak Mencapai</v>
      </c>
      <c r="I19" s="90"/>
    </row>
    <row r="20" spans="1:9" ht="222.95" customHeight="1" x14ac:dyDescent="0.25">
      <c r="A20" s="26" t="s">
        <v>136</v>
      </c>
      <c r="B20" s="91" t="str">
        <f>'Audit Mandiri_IAU LAMKES'!C52</f>
        <v>Bagaimana data dari penilaian, digunakan untuk mengevaluasi pembelajaran dan  implementasi  kurikulum yang digunakan</v>
      </c>
      <c r="C20" s="91"/>
      <c r="D20" s="91"/>
      <c r="E20" s="89">
        <f>'Audit Mandiri_IAU LAMKES'!I52</f>
        <v>0</v>
      </c>
      <c r="F20" s="89"/>
      <c r="G20" s="27">
        <f>'Audit Mandiri_IAU LAMKES'!H52</f>
        <v>0</v>
      </c>
      <c r="H20" s="90" t="str">
        <f t="shared" si="0"/>
        <v>Tidak Mencapai</v>
      </c>
      <c r="I20" s="90"/>
    </row>
    <row r="21" spans="1:9" ht="164.1" customHeight="1" x14ac:dyDescent="0.25">
      <c r="A21" s="26" t="s">
        <v>137</v>
      </c>
      <c r="B21" s="91" t="str">
        <f>'Audit Mandiri_IAU LAMKES'!C60</f>
        <v>Bagaimana kebijakan seleksi dan penerimaan Maba dirancang agar bersifat adil dan merata, sesuai dengan kebutuhan lokal?</v>
      </c>
      <c r="C21" s="91"/>
      <c r="D21" s="91"/>
      <c r="E21" s="89">
        <f>'Audit Mandiri_IAU LAMKES'!I60</f>
        <v>0</v>
      </c>
      <c r="F21" s="89"/>
      <c r="G21" s="27">
        <f>'Audit Mandiri_IAU LAMKES'!H60</f>
        <v>0</v>
      </c>
      <c r="H21" s="90" t="str">
        <f t="shared" si="0"/>
        <v>Tidak Mencapai</v>
      </c>
      <c r="I21" s="90"/>
    </row>
    <row r="22" spans="1:9" ht="164.1" customHeight="1" x14ac:dyDescent="0.25">
      <c r="A22" s="26" t="s">
        <v>138</v>
      </c>
      <c r="B22" s="91" t="str">
        <f>'Audit Mandiri_IAU LAMKES'!C64</f>
        <v xml:space="preserve">Bagaimana layanan akademik dan nonakademik direkomendasikan dan dikomunikasikan kepada staf dan mahasiswa? </v>
      </c>
      <c r="C22" s="91"/>
      <c r="D22" s="91"/>
      <c r="E22" s="89">
        <f>'Audit Mandiri_IAU LAMKES'!I64</f>
        <v>0</v>
      </c>
      <c r="F22" s="89"/>
      <c r="G22" s="27">
        <f>'Audit Mandiri_IAU LAMKES'!H64</f>
        <v>0</v>
      </c>
      <c r="H22" s="90" t="str">
        <f t="shared" si="0"/>
        <v>Tidak Mencapai</v>
      </c>
      <c r="I22" s="90"/>
    </row>
    <row r="23" spans="1:9" ht="164.1" customHeight="1" x14ac:dyDescent="0.25">
      <c r="A23" s="26" t="s">
        <v>139</v>
      </c>
      <c r="B23" s="91" t="str">
        <f>'Audit Mandiri_IAU LAMKES'!C68</f>
        <v>Bagaimana institusi pendidikan/UPPS memastikan bahwa lingkungan kerja dan belajar mahasiswa memenuhi standar mutu dan keselamatan mahasiswa?</v>
      </c>
      <c r="C23" s="91"/>
      <c r="D23" s="91"/>
      <c r="E23" s="89">
        <f>'Audit Mandiri_IAU LAMKES'!I68</f>
        <v>0</v>
      </c>
      <c r="F23" s="89"/>
      <c r="G23" s="27">
        <f>'Audit Mandiri_IAU LAMKES'!H68</f>
        <v>0</v>
      </c>
      <c r="H23" s="90" t="str">
        <f t="shared" si="0"/>
        <v>Tidak Mencapai</v>
      </c>
      <c r="I23" s="90"/>
    </row>
    <row r="24" spans="1:9" ht="164.1" customHeight="1" x14ac:dyDescent="0.25">
      <c r="A24" s="26" t="s">
        <v>140</v>
      </c>
      <c r="B24" s="91" t="str">
        <f>'Audit Mandiri_IAU LAMKES'!C76</f>
        <v xml:space="preserve">Bagaimana UPPS mengambil tanggung jawab administratif atas penerapan kebijakan pengembangan profesional berkelanjutan dosen?
</v>
      </c>
      <c r="C24" s="91"/>
      <c r="D24" s="91"/>
      <c r="E24" s="89">
        <f>'Audit Mandiri_IAU LAMKES'!I76</f>
        <v>0</v>
      </c>
      <c r="F24" s="89"/>
      <c r="G24" s="27">
        <f>'Audit Mandiri_IAU LAMKES'!H76</f>
        <v>0</v>
      </c>
      <c r="H24" s="90" t="str">
        <f t="shared" si="0"/>
        <v>Tidak Mencapai</v>
      </c>
      <c r="I24" s="90"/>
    </row>
    <row r="25" spans="1:9" ht="164.1" customHeight="1" x14ac:dyDescent="0.25">
      <c r="A25" s="26" t="s">
        <v>141</v>
      </c>
      <c r="B25" s="91" t="str">
        <f>'Audit Mandiri_IAU LAMKES'!C80</f>
        <v>Bagaimana UPPS dan PS membuat mekanisme untuk menetapkan, mengatur, dan mengevaluasi kinerja dan perilaku dosen?</v>
      </c>
      <c r="C25" s="91"/>
      <c r="D25" s="91"/>
      <c r="E25" s="89">
        <f>'Audit Mandiri_IAU LAMKES'!I80</f>
        <v>0</v>
      </c>
      <c r="F25" s="89"/>
      <c r="G25" s="27">
        <f>'Audit Mandiri_IAU LAMKES'!H80</f>
        <v>0</v>
      </c>
      <c r="H25" s="90" t="str">
        <f t="shared" si="0"/>
        <v>Tidak Mencapai</v>
      </c>
      <c r="I25" s="90"/>
    </row>
    <row r="26" spans="1:9" ht="164.1" customHeight="1" x14ac:dyDescent="0.25">
      <c r="A26" s="26" t="s">
        <v>142</v>
      </c>
      <c r="B26" s="91" t="str">
        <f>'Audit Mandiri_IAU LAMKES'!C84</f>
        <v>Bagaimana monitoring dan evaluasi kinerja tendik untuk meningkatkan kualitas layanan?</v>
      </c>
      <c r="C26" s="91"/>
      <c r="D26" s="91"/>
      <c r="E26" s="89">
        <f>'Audit Mandiri_IAU LAMKES'!I84</f>
        <v>0</v>
      </c>
      <c r="F26" s="89"/>
      <c r="G26" s="27">
        <f>'Audit Mandiri_IAU LAMKES'!H84</f>
        <v>0</v>
      </c>
      <c r="H26" s="90" t="str">
        <f t="shared" si="0"/>
        <v>Tidak Mencapai</v>
      </c>
      <c r="I26" s="90"/>
    </row>
    <row r="27" spans="1:9" ht="164.1" customHeight="1" x14ac:dyDescent="0.25">
      <c r="A27" s="26" t="s">
        <v>143</v>
      </c>
      <c r="B27" s="91" t="str">
        <f>'Audit Mandiri_IAU LAMKES'!C89</f>
        <v>Bagaimana upaya UPPS/PS menjamin relevansi penelitian dosen dalam mendukung pencapaian visi misi dan unggulan program studi?</v>
      </c>
      <c r="C27" s="91"/>
      <c r="D27" s="91"/>
      <c r="E27" s="89">
        <f>'Audit Mandiri_IAU LAMKES'!I89</f>
        <v>0</v>
      </c>
      <c r="F27" s="89"/>
      <c r="G27" s="27">
        <f>'Audit Mandiri_IAU LAMKES'!H89</f>
        <v>0</v>
      </c>
      <c r="H27" s="90" t="str">
        <f t="shared" si="0"/>
        <v>Tidak Mencapai</v>
      </c>
      <c r="I27" s="90"/>
    </row>
    <row r="28" spans="1:9" ht="164.1" customHeight="1" x14ac:dyDescent="0.25">
      <c r="A28" s="26" t="s">
        <v>144</v>
      </c>
      <c r="B28" s="91" t="str">
        <f>'Audit Mandiri_IAU LAMKES'!C93</f>
        <v>Bagaimana integrasi hasil penelitian dalam kegiatan pembelajaran?</v>
      </c>
      <c r="C28" s="91"/>
      <c r="D28" s="91"/>
      <c r="E28" s="89">
        <f>'Audit Mandiri_IAU LAMKES'!I93</f>
        <v>0</v>
      </c>
      <c r="F28" s="89"/>
      <c r="G28" s="27">
        <f>'Audit Mandiri_IAU LAMKES'!H93</f>
        <v>0</v>
      </c>
      <c r="H28" s="90" t="str">
        <f t="shared" si="0"/>
        <v>Tidak Mencapai</v>
      </c>
      <c r="I28" s="90"/>
    </row>
    <row r="29" spans="1:9" ht="164.1" customHeight="1" x14ac:dyDescent="0.25">
      <c r="A29" s="26" t="s">
        <v>145</v>
      </c>
      <c r="B29" s="91" t="str">
        <f>'Audit Mandiri_IAU LAMKES'!C98</f>
        <v xml:space="preserve">Bagaimana upaya UPPS/PS menjamin relevansi Pengabdian Kepada Masyarakat (PkM) dosen dalam mendukung pencapaian visi misi dan unggulan Program Studi? </v>
      </c>
      <c r="C29" s="91"/>
      <c r="D29" s="91"/>
      <c r="E29" s="89">
        <f>'Audit Mandiri_IAU LAMKES'!I98</f>
        <v>0</v>
      </c>
      <c r="F29" s="89"/>
      <c r="G29" s="27">
        <f>'Audit Mandiri_IAU LAMKES'!H98</f>
        <v>0</v>
      </c>
      <c r="H29" s="90" t="str">
        <f t="shared" si="0"/>
        <v>Tidak Mencapai</v>
      </c>
      <c r="I29" s="90"/>
    </row>
    <row r="30" spans="1:9" ht="164.1" customHeight="1" x14ac:dyDescent="0.25">
      <c r="A30" s="26" t="s">
        <v>146</v>
      </c>
      <c r="B30" s="91" t="str">
        <f>'Audit Mandiri_IAU LAMKES'!C102</f>
        <v>Bagaimana integrasi hasil PkM dalam kegiatan pembelajaran?</v>
      </c>
      <c r="C30" s="91"/>
      <c r="D30" s="91"/>
      <c r="E30" s="89">
        <f>'Audit Mandiri_IAU LAMKES'!I102</f>
        <v>0</v>
      </c>
      <c r="F30" s="89"/>
      <c r="G30" s="27">
        <f>'Audit Mandiri_IAU LAMKES'!H102</f>
        <v>0</v>
      </c>
      <c r="H30" s="90" t="str">
        <f t="shared" si="0"/>
        <v>Tidak Mencapai</v>
      </c>
      <c r="I30" s="90"/>
    </row>
    <row r="31" spans="1:9" ht="164.1" customHeight="1" x14ac:dyDescent="0.25">
      <c r="A31" s="26" t="s">
        <v>147</v>
      </c>
      <c r="B31" s="91" t="str">
        <f>'Audit Mandiri_IAU LAMKES'!C110</f>
        <v>Bagaimana UPPS mengelola sumber dan/atau jumlah keuangan yang dapat berubah dari waktu ke waktu</v>
      </c>
      <c r="C31" s="91"/>
      <c r="D31" s="91"/>
      <c r="E31" s="89">
        <f>'Audit Mandiri_IAU LAMKES'!I110</f>
        <v>0</v>
      </c>
      <c r="F31" s="89"/>
      <c r="G31" s="27">
        <f>'Audit Mandiri_IAU LAMKES'!H110</f>
        <v>0</v>
      </c>
      <c r="H31" s="90" t="str">
        <f t="shared" si="0"/>
        <v>Tidak Mencapai</v>
      </c>
      <c r="I31" s="90"/>
    </row>
    <row r="32" spans="1:9" ht="164.1" customHeight="1" x14ac:dyDescent="0.25">
      <c r="A32" s="26" t="s">
        <v>148</v>
      </c>
      <c r="B32" s="91" t="str">
        <f>'Audit Mandiri_IAU LAMKES'!C113</f>
        <v>Bagaimana UPPS menentukan kecukupan infrastruktur fisik (sarana dan prasarana) yang disediakan untuk pembelajaran teori dan praktik yang ditentukan dalam kurikulum?</v>
      </c>
      <c r="C32" s="91"/>
      <c r="D32" s="91"/>
      <c r="E32" s="89">
        <f>'Audit Mandiri_IAU LAMKES'!I113</f>
        <v>0</v>
      </c>
      <c r="F32" s="89"/>
      <c r="G32" s="27">
        <f>'Audit Mandiri_IAU LAMKES'!H113</f>
        <v>0</v>
      </c>
      <c r="H32" s="90" t="str">
        <f t="shared" si="0"/>
        <v>Tidak Mencapai</v>
      </c>
      <c r="I32" s="90"/>
    </row>
    <row r="33" spans="1:9" ht="164.1" customHeight="1" x14ac:dyDescent="0.25">
      <c r="A33" s="26" t="s">
        <v>149</v>
      </c>
      <c r="B33" s="91" t="str">
        <f>'Audit Mandiri_IAU LAMKES'!C121</f>
        <v>Bagaimana pelaksanaan sistem penjaminan mutu internal di UPPS dan PS, dan sosialisasinya pada pemangku kepentingan internal dan eksternal?</v>
      </c>
      <c r="C33" s="91"/>
      <c r="D33" s="91"/>
      <c r="E33" s="89">
        <f>'Audit Mandiri_IAU LAMKES'!I121</f>
        <v>0</v>
      </c>
      <c r="F33" s="89"/>
      <c r="G33" s="27">
        <f>'Audit Mandiri_IAU LAMKES'!H121</f>
        <v>0</v>
      </c>
      <c r="H33" s="90" t="str">
        <f t="shared" si="0"/>
        <v>Tidak Mencapai</v>
      </c>
      <c r="I33" s="90"/>
    </row>
    <row r="34" spans="1:9" ht="164.1" customHeight="1" x14ac:dyDescent="0.25">
      <c r="A34" s="26" t="s">
        <v>150</v>
      </c>
      <c r="B34" s="91" t="str">
        <f>'Audit Mandiri_IAU LAMKES'!C125</f>
        <v xml:space="preserve">Bagaimana sistem penjaminan mutu digunakan untuk meningkatkan mutu tridharma perguruan tinggi? </v>
      </c>
      <c r="C34" s="91"/>
      <c r="D34" s="91"/>
      <c r="E34" s="89">
        <f>'Audit Mandiri_IAU LAMKES'!I125</f>
        <v>0</v>
      </c>
      <c r="F34" s="89"/>
      <c r="G34" s="27">
        <f>'Audit Mandiri_IAU LAMKES'!H125</f>
        <v>0</v>
      </c>
      <c r="H34" s="90" t="str">
        <f t="shared" si="0"/>
        <v>Tidak Mencapai</v>
      </c>
      <c r="I34" s="90"/>
    </row>
    <row r="35" spans="1:9" ht="164.1" customHeight="1" x14ac:dyDescent="0.25">
      <c r="A35" s="26" t="s">
        <v>151</v>
      </c>
      <c r="B35" s="91" t="str">
        <f>'Audit Mandiri_IAU LAMKES'!C132</f>
        <v>Bagaimana proses dan unit yang mendukung penyelenggaraan  tridharma diatur di UPPS?</v>
      </c>
      <c r="C35" s="91"/>
      <c r="D35" s="91"/>
      <c r="E35" s="89">
        <f>'Audit Mandiri_IAU LAMKES'!I132</f>
        <v>0</v>
      </c>
      <c r="F35" s="89"/>
      <c r="G35" s="27">
        <f>'Audit Mandiri_IAU LAMKES'!H132</f>
        <v>0</v>
      </c>
      <c r="H35" s="90" t="str">
        <f t="shared" si="0"/>
        <v>Tidak Mencapai</v>
      </c>
      <c r="I35" s="90"/>
    </row>
    <row r="36" spans="1:9" ht="164.1" customHeight="1" x14ac:dyDescent="0.25">
      <c r="A36" s="26" t="s">
        <v>152</v>
      </c>
      <c r="B36" s="91" t="str">
        <f>'Audit Mandiri_IAU LAMKES'!C136</f>
        <v>Bagaimana cara mengidentifikasi dan memitigasi risiko di UPPS?</v>
      </c>
      <c r="C36" s="91"/>
      <c r="D36" s="91"/>
      <c r="E36" s="89">
        <f>'Audit Mandiri_IAU LAMKES'!I136</f>
        <v>0</v>
      </c>
      <c r="F36" s="89"/>
      <c r="G36" s="27">
        <f>'Audit Mandiri_IAU LAMKES'!H136</f>
        <v>0</v>
      </c>
      <c r="H36" s="90" t="str">
        <f t="shared" si="0"/>
        <v>Tidak Mencapai</v>
      </c>
      <c r="I36" s="90"/>
    </row>
    <row r="37" spans="1:9" ht="164.1" customHeight="1" x14ac:dyDescent="0.25">
      <c r="A37" s="26" t="s">
        <v>153</v>
      </c>
      <c r="B37" s="91" t="str">
        <f>'Audit Mandiri_IAU LAMKES'!C139</f>
        <v>Bagaimana UPPS menetapkan kebijakan tentang perwakilan mahasiswa dan partisipasi yang sesuai dalam proses akademik dan non akademik?</v>
      </c>
      <c r="C37" s="91"/>
      <c r="D37" s="91"/>
      <c r="E37" s="89">
        <f>'Audit Mandiri_IAU LAMKES'!I139</f>
        <v>0</v>
      </c>
      <c r="F37" s="89"/>
      <c r="G37" s="27">
        <f>'Audit Mandiri_IAU LAMKES'!H139</f>
        <v>0</v>
      </c>
      <c r="H37" s="90" t="str">
        <f t="shared" si="0"/>
        <v>Tidak Mencapai</v>
      </c>
      <c r="I37" s="90"/>
    </row>
    <row r="38" spans="1:9" ht="164.1" customHeight="1" x14ac:dyDescent="0.25">
      <c r="A38" s="38" t="s">
        <v>154</v>
      </c>
      <c r="B38" s="86"/>
      <c r="C38" s="87"/>
      <c r="D38" s="88"/>
      <c r="E38" s="89"/>
      <c r="F38" s="89"/>
      <c r="G38" s="37"/>
      <c r="H38" s="90" t="str">
        <f t="shared" si="0"/>
        <v>Tidak Mencapai</v>
      </c>
      <c r="I38" s="90"/>
    </row>
    <row r="39" spans="1:9" ht="15.75" thickBot="1" x14ac:dyDescent="0.3"/>
    <row r="40" spans="1:9" ht="15.75" thickBot="1" x14ac:dyDescent="0.3">
      <c r="A40" s="28" t="s">
        <v>155</v>
      </c>
      <c r="B40" s="29"/>
      <c r="C40" s="30" t="s">
        <v>156</v>
      </c>
      <c r="D40" s="29"/>
      <c r="E40" s="31" t="s">
        <v>157</v>
      </c>
      <c r="F40" s="32"/>
      <c r="G40" s="32"/>
      <c r="H40" s="32"/>
      <c r="I40" s="33"/>
    </row>
    <row r="41" spans="1:9" x14ac:dyDescent="0.25">
      <c r="A41" s="105"/>
      <c r="B41" s="106"/>
      <c r="C41" s="107"/>
      <c r="D41" s="108"/>
      <c r="E41" s="109" t="s">
        <v>158</v>
      </c>
      <c r="F41" s="110"/>
      <c r="G41" s="110"/>
      <c r="H41" s="110"/>
      <c r="I41" s="111"/>
    </row>
    <row r="42" spans="1:9" ht="15.75" thickBot="1" x14ac:dyDescent="0.3">
      <c r="A42" s="115" t="s">
        <v>159</v>
      </c>
      <c r="B42" s="116"/>
      <c r="C42" s="116"/>
      <c r="D42" s="117"/>
      <c r="E42" s="112"/>
      <c r="F42" s="113"/>
      <c r="G42" s="113"/>
      <c r="H42" s="113"/>
      <c r="I42" s="114"/>
    </row>
    <row r="43" spans="1:9" ht="69.95" customHeight="1" thickBot="1" x14ac:dyDescent="0.3">
      <c r="A43" s="92" t="s">
        <v>160</v>
      </c>
      <c r="B43" s="93"/>
      <c r="C43" s="93"/>
      <c r="D43" s="93"/>
      <c r="E43" s="102"/>
      <c r="F43" s="103"/>
      <c r="G43" s="103"/>
      <c r="H43" s="103"/>
      <c r="I43" s="104"/>
    </row>
    <row r="44" spans="1:9" ht="15.75" thickBot="1" x14ac:dyDescent="0.3">
      <c r="A44" s="96" t="s">
        <v>161</v>
      </c>
      <c r="B44" s="97"/>
      <c r="C44" s="97"/>
      <c r="D44" s="98"/>
      <c r="E44" s="96"/>
      <c r="F44" s="97"/>
      <c r="G44" s="97"/>
      <c r="H44" s="97"/>
      <c r="I44" s="98"/>
    </row>
    <row r="45" spans="1:9" ht="69.95" customHeight="1" thickBot="1" x14ac:dyDescent="0.3">
      <c r="A45" s="92" t="s">
        <v>162</v>
      </c>
      <c r="B45" s="93"/>
      <c r="C45" s="93"/>
      <c r="D45" s="93"/>
      <c r="E45" s="102"/>
      <c r="F45" s="103"/>
      <c r="G45" s="103"/>
      <c r="H45" s="103"/>
      <c r="I45" s="104"/>
    </row>
    <row r="46" spans="1:9" ht="15.75" thickBot="1" x14ac:dyDescent="0.3">
      <c r="A46" s="96" t="s">
        <v>161</v>
      </c>
      <c r="B46" s="97"/>
      <c r="C46" s="97"/>
      <c r="D46" s="98"/>
      <c r="E46" s="96"/>
      <c r="F46" s="97"/>
      <c r="G46" s="97"/>
      <c r="H46" s="97"/>
      <c r="I46" s="98"/>
    </row>
    <row r="47" spans="1:9" s="34" customFormat="1" ht="69.95" customHeight="1" thickBot="1" x14ac:dyDescent="0.3">
      <c r="A47" s="92" t="s">
        <v>163</v>
      </c>
      <c r="B47" s="93"/>
      <c r="C47" s="93"/>
      <c r="D47" s="93"/>
      <c r="E47" s="94"/>
      <c r="F47" s="93"/>
      <c r="G47" s="93"/>
      <c r="H47" s="93"/>
      <c r="I47" s="95"/>
    </row>
    <row r="48" spans="1:9" x14ac:dyDescent="0.25">
      <c r="A48" s="96" t="s">
        <v>161</v>
      </c>
      <c r="B48" s="97"/>
      <c r="C48" s="97"/>
      <c r="D48" s="98"/>
      <c r="E48" s="96"/>
      <c r="F48" s="97"/>
      <c r="G48" s="97"/>
      <c r="H48" s="97"/>
      <c r="I48" s="98"/>
    </row>
    <row r="50" spans="1:9" ht="35.1" customHeight="1" x14ac:dyDescent="0.25">
      <c r="A50" s="99" t="s">
        <v>164</v>
      </c>
      <c r="B50" s="100"/>
      <c r="C50" s="100"/>
      <c r="D50" s="100"/>
      <c r="E50" s="100"/>
      <c r="F50" s="100"/>
      <c r="G50" s="100"/>
      <c r="H50" s="100"/>
      <c r="I50" s="101"/>
    </row>
    <row r="51" spans="1:9" ht="24.9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24.95" customHeight="1" x14ac:dyDescent="0.25">
      <c r="C52" t="s">
        <v>165</v>
      </c>
      <c r="E52" s="35"/>
    </row>
    <row r="53" spans="1:9" ht="24.95" customHeight="1" x14ac:dyDescent="0.25">
      <c r="B53" s="85" t="s">
        <v>166</v>
      </c>
      <c r="C53" s="85"/>
      <c r="D53" s="85"/>
      <c r="E53" s="36"/>
    </row>
    <row r="55" spans="1:9" ht="24.95" customHeight="1" x14ac:dyDescent="0.25">
      <c r="C55" t="s">
        <v>167</v>
      </c>
      <c r="E55" s="35"/>
    </row>
    <row r="56" spans="1:9" ht="24.95" customHeight="1" x14ac:dyDescent="0.25">
      <c r="B56" s="85" t="s">
        <v>166</v>
      </c>
      <c r="C56" s="85"/>
      <c r="D56" s="85"/>
      <c r="E56" s="36"/>
    </row>
    <row r="58" spans="1:9" ht="24.95" customHeight="1" x14ac:dyDescent="0.25">
      <c r="C58" t="s">
        <v>168</v>
      </c>
      <c r="E58" s="35"/>
    </row>
    <row r="59" spans="1:9" ht="24.95" customHeight="1" x14ac:dyDescent="0.25">
      <c r="B59" s="85" t="s">
        <v>166</v>
      </c>
      <c r="C59" s="85"/>
      <c r="D59" s="85"/>
      <c r="E59" s="36"/>
    </row>
  </sheetData>
  <mergeCells count="119">
    <mergeCell ref="A2:B6"/>
    <mergeCell ref="C2:G4"/>
    <mergeCell ref="H3:I3"/>
    <mergeCell ref="H4:I4"/>
    <mergeCell ref="D5:E5"/>
    <mergeCell ref="F5:G5"/>
    <mergeCell ref="H5:I5"/>
    <mergeCell ref="C6:D6"/>
    <mergeCell ref="E6:G6"/>
    <mergeCell ref="H6:I6"/>
    <mergeCell ref="B12:D12"/>
    <mergeCell ref="E12:F12"/>
    <mergeCell ref="H12:I12"/>
    <mergeCell ref="B13:D13"/>
    <mergeCell ref="E13:F13"/>
    <mergeCell ref="H13:I13"/>
    <mergeCell ref="A7:I7"/>
    <mergeCell ref="A8:I8"/>
    <mergeCell ref="A9:I9"/>
    <mergeCell ref="A10:A11"/>
    <mergeCell ref="B10:D11"/>
    <mergeCell ref="E10:F11"/>
    <mergeCell ref="G10:G11"/>
    <mergeCell ref="H10:I11"/>
    <mergeCell ref="B16:D16"/>
    <mergeCell ref="E16:F16"/>
    <mergeCell ref="H16:I16"/>
    <mergeCell ref="B17:D17"/>
    <mergeCell ref="E17:F17"/>
    <mergeCell ref="H17:I17"/>
    <mergeCell ref="B14:D14"/>
    <mergeCell ref="E14:F14"/>
    <mergeCell ref="H14:I14"/>
    <mergeCell ref="B15:D15"/>
    <mergeCell ref="E15:F15"/>
    <mergeCell ref="H15:I15"/>
    <mergeCell ref="B20:D20"/>
    <mergeCell ref="E20:F20"/>
    <mergeCell ref="H20:I20"/>
    <mergeCell ref="B21:D21"/>
    <mergeCell ref="E21:F21"/>
    <mergeCell ref="H21:I21"/>
    <mergeCell ref="B18:D18"/>
    <mergeCell ref="E18:F18"/>
    <mergeCell ref="H18:I18"/>
    <mergeCell ref="B19:D19"/>
    <mergeCell ref="E19:F19"/>
    <mergeCell ref="H19:I19"/>
    <mergeCell ref="B24:D24"/>
    <mergeCell ref="E24:F24"/>
    <mergeCell ref="H24:I24"/>
    <mergeCell ref="B25:D25"/>
    <mergeCell ref="E25:F25"/>
    <mergeCell ref="H25:I25"/>
    <mergeCell ref="B22:D22"/>
    <mergeCell ref="E22:F22"/>
    <mergeCell ref="H22:I22"/>
    <mergeCell ref="B23:D23"/>
    <mergeCell ref="E23:F23"/>
    <mergeCell ref="H23:I23"/>
    <mergeCell ref="B28:D28"/>
    <mergeCell ref="E28:F28"/>
    <mergeCell ref="H28:I28"/>
    <mergeCell ref="B29:D29"/>
    <mergeCell ref="E29:F29"/>
    <mergeCell ref="H29:I29"/>
    <mergeCell ref="B26:D26"/>
    <mergeCell ref="E26:F26"/>
    <mergeCell ref="H26:I26"/>
    <mergeCell ref="B27:D27"/>
    <mergeCell ref="E27:F27"/>
    <mergeCell ref="H27:I27"/>
    <mergeCell ref="A43:D43"/>
    <mergeCell ref="E43:I43"/>
    <mergeCell ref="B30:D30"/>
    <mergeCell ref="E30:F30"/>
    <mergeCell ref="H30:I30"/>
    <mergeCell ref="B36:D36"/>
    <mergeCell ref="E36:F36"/>
    <mergeCell ref="H36:I36"/>
    <mergeCell ref="B34:D34"/>
    <mergeCell ref="E34:F34"/>
    <mergeCell ref="H34:I34"/>
    <mergeCell ref="B35:D35"/>
    <mergeCell ref="B31:D31"/>
    <mergeCell ref="E31:F31"/>
    <mergeCell ref="H31:I31"/>
    <mergeCell ref="E35:F35"/>
    <mergeCell ref="H35:I35"/>
    <mergeCell ref="B32:D32"/>
    <mergeCell ref="E32:F32"/>
    <mergeCell ref="H32:I32"/>
    <mergeCell ref="B33:D33"/>
    <mergeCell ref="E33:F33"/>
    <mergeCell ref="H33:I33"/>
    <mergeCell ref="B56:D56"/>
    <mergeCell ref="B59:D59"/>
    <mergeCell ref="B38:D38"/>
    <mergeCell ref="E38:F38"/>
    <mergeCell ref="H38:I38"/>
    <mergeCell ref="B37:D37"/>
    <mergeCell ref="E37:F37"/>
    <mergeCell ref="H37:I37"/>
    <mergeCell ref="A47:D47"/>
    <mergeCell ref="E47:I47"/>
    <mergeCell ref="A48:D48"/>
    <mergeCell ref="E48:I48"/>
    <mergeCell ref="A50:I50"/>
    <mergeCell ref="B53:D53"/>
    <mergeCell ref="A44:D44"/>
    <mergeCell ref="E44:I44"/>
    <mergeCell ref="A45:D45"/>
    <mergeCell ref="E45:I45"/>
    <mergeCell ref="A46:D46"/>
    <mergeCell ref="E46:I46"/>
    <mergeCell ref="A41:B41"/>
    <mergeCell ref="C41:D41"/>
    <mergeCell ref="E41:I42"/>
    <mergeCell ref="A42:D42"/>
  </mergeCells>
  <pageMargins left="0.45572916666666669" right="0.32552083333333331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showGridLines="0" tabSelected="1" zoomScaleNormal="100" workbookViewId="0">
      <selection activeCell="J8" sqref="J8"/>
    </sheetView>
  </sheetViews>
  <sheetFormatPr defaultColWidth="8.85546875" defaultRowHeight="15.75" x14ac:dyDescent="0.25"/>
  <cols>
    <col min="1" max="1" width="2.42578125" style="1" customWidth="1"/>
    <col min="2" max="2" width="8.85546875" style="1" customWidth="1"/>
    <col min="3" max="3" width="3.28515625" style="1" customWidth="1"/>
    <col min="4" max="4" width="3.140625" style="1" customWidth="1"/>
    <col min="5" max="5" width="3.7109375" style="1" customWidth="1"/>
    <col min="6" max="6" width="8.85546875" style="1" customWidth="1"/>
    <col min="7" max="7" width="48.42578125" style="1" customWidth="1"/>
    <col min="8" max="8" width="7.7109375" style="16" customWidth="1"/>
    <col min="9" max="9" width="53.7109375" style="3" customWidth="1"/>
    <col min="10" max="10" width="17.85546875" style="1" customWidth="1"/>
    <col min="11" max="11" width="8.85546875" style="1" customWidth="1"/>
    <col min="12" max="16384" width="8.85546875" style="2"/>
  </cols>
  <sheetData>
    <row r="1" spans="2:12" x14ac:dyDescent="0.25">
      <c r="I1" s="19" t="s">
        <v>0</v>
      </c>
    </row>
    <row r="2" spans="2:12" ht="25.7" customHeight="1" x14ac:dyDescent="0.4">
      <c r="B2" s="81" t="s">
        <v>169</v>
      </c>
      <c r="C2" s="47"/>
      <c r="D2" s="47"/>
      <c r="E2" s="47"/>
      <c r="F2" s="47"/>
      <c r="G2" s="47"/>
      <c r="H2" s="82"/>
      <c r="I2" s="83"/>
    </row>
    <row r="3" spans="2:12" ht="18" customHeight="1" x14ac:dyDescent="0.3">
      <c r="B3" s="84" t="s">
        <v>5</v>
      </c>
      <c r="C3" s="47"/>
      <c r="D3" s="47"/>
      <c r="E3" s="47"/>
      <c r="F3" s="47"/>
      <c r="G3" s="47"/>
      <c r="H3" s="82"/>
      <c r="I3" s="83"/>
    </row>
    <row r="4" spans="2:12" ht="18.75" customHeight="1" x14ac:dyDescent="0.3">
      <c r="B4" s="20" t="s">
        <v>3</v>
      </c>
      <c r="C4" s="20"/>
      <c r="D4" s="20"/>
      <c r="E4" s="20"/>
      <c r="F4" s="20"/>
      <c r="G4" s="72"/>
      <c r="H4" s="72"/>
      <c r="I4" s="72"/>
    </row>
    <row r="5" spans="2:12" ht="32.1" customHeight="1" x14ac:dyDescent="0.25">
      <c r="B5" s="56" t="s">
        <v>6</v>
      </c>
      <c r="C5" s="55"/>
      <c r="D5" s="55"/>
      <c r="E5" s="55"/>
      <c r="F5" s="55"/>
      <c r="G5" s="55"/>
      <c r="H5" s="55"/>
      <c r="I5" s="53"/>
    </row>
    <row r="6" spans="2:12" ht="18.75" x14ac:dyDescent="0.25">
      <c r="B6" s="4" t="s">
        <v>7</v>
      </c>
      <c r="C6" s="68" t="s">
        <v>8</v>
      </c>
      <c r="D6" s="69"/>
      <c r="E6" s="69"/>
      <c r="F6" s="69"/>
      <c r="G6" s="70"/>
      <c r="H6" s="5" t="s">
        <v>9</v>
      </c>
      <c r="I6" s="5" t="s">
        <v>10</v>
      </c>
    </row>
    <row r="7" spans="2:12" s="1" customFormat="1" ht="18.75" x14ac:dyDescent="0.25">
      <c r="B7" s="6" t="s">
        <v>11</v>
      </c>
      <c r="C7" s="54" t="s">
        <v>12</v>
      </c>
      <c r="D7" s="55"/>
      <c r="E7" s="55"/>
      <c r="F7" s="55"/>
      <c r="G7" s="53"/>
      <c r="H7" s="7"/>
      <c r="I7" s="8"/>
      <c r="J7" s="9"/>
      <c r="L7" s="2"/>
    </row>
    <row r="8" spans="2:12" s="1" customFormat="1" ht="37.5" customHeight="1" x14ac:dyDescent="0.25">
      <c r="B8" s="43" t="s">
        <v>13</v>
      </c>
      <c r="C8" s="46" t="s">
        <v>14</v>
      </c>
      <c r="D8" s="47"/>
      <c r="E8" s="47"/>
      <c r="F8" s="47"/>
      <c r="G8" s="48"/>
      <c r="H8" s="10"/>
      <c r="I8" s="49"/>
      <c r="L8" s="2"/>
    </row>
    <row r="9" spans="2:12" s="1" customFormat="1" ht="121.5" customHeight="1" x14ac:dyDescent="0.25">
      <c r="B9" s="44"/>
      <c r="C9" s="51">
        <v>4</v>
      </c>
      <c r="D9" s="55"/>
      <c r="E9" s="53"/>
      <c r="F9" s="78" t="s">
        <v>15</v>
      </c>
      <c r="G9" s="53"/>
      <c r="H9" s="11"/>
      <c r="I9" s="49"/>
      <c r="L9" s="2"/>
    </row>
    <row r="10" spans="2:12" s="1" customFormat="1" ht="84" customHeight="1" x14ac:dyDescent="0.25">
      <c r="B10" s="44"/>
      <c r="C10" s="51">
        <v>3</v>
      </c>
      <c r="D10" s="55"/>
      <c r="E10" s="53"/>
      <c r="F10" s="78" t="s">
        <v>16</v>
      </c>
      <c r="G10" s="53"/>
      <c r="H10" s="11"/>
      <c r="I10" s="49"/>
      <c r="L10" s="2"/>
    </row>
    <row r="11" spans="2:12" s="1" customFormat="1" ht="15" x14ac:dyDescent="0.25">
      <c r="B11" s="45"/>
      <c r="C11" s="51">
        <v>0</v>
      </c>
      <c r="D11" s="55"/>
      <c r="E11" s="53"/>
      <c r="F11" s="71" t="s">
        <v>17</v>
      </c>
      <c r="G11" s="53"/>
      <c r="H11" s="12"/>
      <c r="I11" s="49"/>
      <c r="L11" s="2"/>
    </row>
    <row r="12" spans="2:12" s="1" customFormat="1" ht="31.5" customHeight="1" x14ac:dyDescent="0.25">
      <c r="B12" s="73" t="s">
        <v>18</v>
      </c>
      <c r="C12" s="76" t="s">
        <v>170</v>
      </c>
      <c r="D12" s="47"/>
      <c r="E12" s="47"/>
      <c r="F12" s="47"/>
      <c r="G12" s="48"/>
      <c r="H12" s="13"/>
      <c r="I12" s="49"/>
      <c r="L12" s="2"/>
    </row>
    <row r="13" spans="2:12" s="1" customFormat="1" ht="96" customHeight="1" x14ac:dyDescent="0.25">
      <c r="B13" s="74"/>
      <c r="C13" s="77">
        <v>4</v>
      </c>
      <c r="D13" s="55"/>
      <c r="E13" s="53"/>
      <c r="F13" s="78" t="s">
        <v>171</v>
      </c>
      <c r="G13" s="53"/>
      <c r="H13" s="14"/>
      <c r="I13" s="49"/>
      <c r="L13" s="2"/>
    </row>
    <row r="14" spans="2:12" s="1" customFormat="1" ht="96" customHeight="1" x14ac:dyDescent="0.25">
      <c r="B14" s="74"/>
      <c r="C14" s="77">
        <v>3</v>
      </c>
      <c r="D14" s="55"/>
      <c r="E14" s="53"/>
      <c r="F14" s="78" t="s">
        <v>172</v>
      </c>
      <c r="G14" s="53"/>
      <c r="H14" s="14"/>
      <c r="I14" s="49"/>
      <c r="L14" s="2"/>
    </row>
    <row r="15" spans="2:12" s="1" customFormat="1" ht="15" x14ac:dyDescent="0.25">
      <c r="B15" s="75"/>
      <c r="C15" s="77">
        <v>0</v>
      </c>
      <c r="D15" s="55"/>
      <c r="E15" s="53"/>
      <c r="F15" s="71" t="s">
        <v>17</v>
      </c>
      <c r="G15" s="53"/>
      <c r="H15" s="15"/>
      <c r="I15" s="49"/>
      <c r="L15" s="2"/>
    </row>
    <row r="16" spans="2:12" s="1" customFormat="1" ht="36.75" customHeight="1" x14ac:dyDescent="0.25">
      <c r="B16" s="73" t="s">
        <v>22</v>
      </c>
      <c r="C16" s="76" t="s">
        <v>23</v>
      </c>
      <c r="D16" s="47"/>
      <c r="E16" s="47"/>
      <c r="F16" s="47"/>
      <c r="G16" s="48"/>
      <c r="H16" s="13"/>
      <c r="I16" s="49"/>
      <c r="L16" s="2"/>
    </row>
    <row r="17" spans="2:12" s="1" customFormat="1" ht="71.099999999999994" customHeight="1" x14ac:dyDescent="0.25">
      <c r="B17" s="74"/>
      <c r="C17" s="77">
        <v>4</v>
      </c>
      <c r="D17" s="55"/>
      <c r="E17" s="53"/>
      <c r="F17" s="78" t="s">
        <v>173</v>
      </c>
      <c r="G17" s="53"/>
      <c r="H17" s="14"/>
      <c r="I17" s="49"/>
      <c r="L17" s="2"/>
    </row>
    <row r="18" spans="2:12" s="1" customFormat="1" ht="71.099999999999994" customHeight="1" x14ac:dyDescent="0.25">
      <c r="B18" s="74"/>
      <c r="C18" s="77">
        <v>3</v>
      </c>
      <c r="D18" s="55"/>
      <c r="E18" s="53"/>
      <c r="F18" s="78" t="s">
        <v>174</v>
      </c>
      <c r="G18" s="53"/>
      <c r="H18" s="14"/>
      <c r="I18" s="49"/>
      <c r="L18" s="2"/>
    </row>
    <row r="19" spans="2:12" s="1" customFormat="1" ht="15" x14ac:dyDescent="0.25">
      <c r="B19" s="75"/>
      <c r="C19" s="77">
        <v>0</v>
      </c>
      <c r="D19" s="55"/>
      <c r="E19" s="53"/>
      <c r="F19" s="71" t="s">
        <v>17</v>
      </c>
      <c r="G19" s="53"/>
      <c r="H19" s="15"/>
      <c r="I19" s="49"/>
      <c r="L19" s="2"/>
    </row>
    <row r="20" spans="2:12" s="1" customFormat="1" x14ac:dyDescent="0.25">
      <c r="H20" s="16"/>
      <c r="I20" s="3"/>
      <c r="L20" s="2"/>
    </row>
    <row r="21" spans="2:12" s="1" customFormat="1" ht="32.1" customHeight="1" x14ac:dyDescent="0.25">
      <c r="B21" s="56" t="s">
        <v>25</v>
      </c>
      <c r="C21" s="55"/>
      <c r="D21" s="55"/>
      <c r="E21" s="55"/>
      <c r="F21" s="55"/>
      <c r="G21" s="55"/>
      <c r="H21" s="55"/>
      <c r="I21" s="53"/>
      <c r="L21" s="2"/>
    </row>
    <row r="22" spans="2:12" ht="18.75" x14ac:dyDescent="0.25">
      <c r="B22" s="4" t="s">
        <v>7</v>
      </c>
      <c r="C22" s="68" t="s">
        <v>8</v>
      </c>
      <c r="D22" s="69"/>
      <c r="E22" s="69"/>
      <c r="F22" s="69"/>
      <c r="G22" s="70"/>
      <c r="H22" s="5" t="s">
        <v>9</v>
      </c>
      <c r="I22" s="5" t="s">
        <v>10</v>
      </c>
    </row>
    <row r="23" spans="2:12" ht="18.75" x14ac:dyDescent="0.25">
      <c r="B23" s="6">
        <v>2</v>
      </c>
      <c r="C23" s="54" t="s">
        <v>26</v>
      </c>
      <c r="D23" s="55"/>
      <c r="E23" s="55"/>
      <c r="F23" s="55"/>
      <c r="G23" s="53"/>
      <c r="H23" s="7"/>
      <c r="I23" s="8"/>
    </row>
    <row r="24" spans="2:12" ht="37.5" customHeight="1" x14ac:dyDescent="0.25">
      <c r="B24" s="43" t="s">
        <v>13</v>
      </c>
      <c r="C24" s="46" t="s">
        <v>175</v>
      </c>
      <c r="D24" s="47"/>
      <c r="E24" s="47"/>
      <c r="F24" s="47"/>
      <c r="G24" s="48"/>
      <c r="H24" s="10"/>
      <c r="I24" s="49"/>
    </row>
    <row r="25" spans="2:12" ht="79.5" customHeight="1" x14ac:dyDescent="0.25">
      <c r="B25" s="44"/>
      <c r="C25" s="50">
        <v>4</v>
      </c>
      <c r="D25" s="50"/>
      <c r="E25" s="51"/>
      <c r="F25" s="52" t="s">
        <v>176</v>
      </c>
      <c r="G25" s="53"/>
      <c r="H25" s="11"/>
      <c r="I25" s="49"/>
    </row>
    <row r="26" spans="2:12" ht="48.75" customHeight="1" x14ac:dyDescent="0.25">
      <c r="B26" s="44"/>
      <c r="C26" s="63">
        <v>3</v>
      </c>
      <c r="D26" s="50"/>
      <c r="E26" s="51"/>
      <c r="F26" s="52" t="s">
        <v>176</v>
      </c>
      <c r="G26" s="53"/>
      <c r="H26" s="11"/>
      <c r="I26" s="49"/>
    </row>
    <row r="27" spans="2:12" x14ac:dyDescent="0.25">
      <c r="B27" s="45"/>
      <c r="C27" s="50">
        <v>0</v>
      </c>
      <c r="D27" s="50"/>
      <c r="E27" s="51"/>
      <c r="F27" s="52" t="s">
        <v>17</v>
      </c>
      <c r="G27" s="53"/>
      <c r="H27" s="12"/>
      <c r="I27" s="49"/>
    </row>
    <row r="28" spans="2:12" ht="36" customHeight="1" x14ac:dyDescent="0.25">
      <c r="B28" s="43" t="s">
        <v>18</v>
      </c>
      <c r="C28" s="46" t="s">
        <v>177</v>
      </c>
      <c r="D28" s="47"/>
      <c r="E28" s="47"/>
      <c r="F28" s="47"/>
      <c r="G28" s="48"/>
      <c r="H28" s="10"/>
      <c r="I28" s="49"/>
    </row>
    <row r="29" spans="2:12" ht="81" customHeight="1" x14ac:dyDescent="0.25">
      <c r="B29" s="44"/>
      <c r="C29" s="50">
        <v>4</v>
      </c>
      <c r="D29" s="50"/>
      <c r="E29" s="50"/>
      <c r="F29" s="66" t="s">
        <v>178</v>
      </c>
      <c r="G29" s="67"/>
      <c r="H29" s="17"/>
      <c r="I29" s="49"/>
    </row>
    <row r="30" spans="2:12" ht="39" customHeight="1" x14ac:dyDescent="0.25">
      <c r="B30" s="44"/>
      <c r="C30" s="50">
        <v>3</v>
      </c>
      <c r="D30" s="50"/>
      <c r="E30" s="51"/>
      <c r="F30" s="66" t="s">
        <v>179</v>
      </c>
      <c r="G30" s="67"/>
      <c r="H30" s="11"/>
      <c r="I30" s="49"/>
    </row>
    <row r="31" spans="2:12" x14ac:dyDescent="0.25">
      <c r="B31" s="45"/>
      <c r="C31" s="50">
        <v>0</v>
      </c>
      <c r="D31" s="50"/>
      <c r="E31" s="51"/>
      <c r="F31" s="52"/>
      <c r="G31" s="53"/>
      <c r="H31" s="12"/>
      <c r="I31" s="49"/>
    </row>
    <row r="32" spans="2:12" ht="36.75" customHeight="1" x14ac:dyDescent="0.25">
      <c r="B32" s="43" t="s">
        <v>22</v>
      </c>
      <c r="C32" s="46" t="s">
        <v>180</v>
      </c>
      <c r="D32" s="47"/>
      <c r="E32" s="47"/>
      <c r="F32" s="47"/>
      <c r="G32" s="48"/>
      <c r="H32" s="10"/>
      <c r="I32" s="49"/>
    </row>
    <row r="33" spans="2:12" ht="81" customHeight="1" x14ac:dyDescent="0.25">
      <c r="B33" s="44"/>
      <c r="C33" s="50">
        <v>4</v>
      </c>
      <c r="D33" s="50"/>
      <c r="E33" s="51"/>
      <c r="F33" s="52" t="s">
        <v>181</v>
      </c>
      <c r="G33" s="53"/>
      <c r="H33" s="11"/>
      <c r="I33" s="49"/>
    </row>
    <row r="34" spans="2:12" s="1" customFormat="1" ht="54" customHeight="1" x14ac:dyDescent="0.25">
      <c r="B34" s="44"/>
      <c r="C34" s="50">
        <v>3</v>
      </c>
      <c r="D34" s="50"/>
      <c r="E34" s="51"/>
      <c r="F34" s="52" t="s">
        <v>182</v>
      </c>
      <c r="G34" s="53"/>
      <c r="H34" s="11"/>
      <c r="I34" s="49"/>
      <c r="L34" s="2"/>
    </row>
    <row r="35" spans="2:12" s="1" customFormat="1" x14ac:dyDescent="0.25">
      <c r="B35" s="45"/>
      <c r="C35" s="50">
        <v>0</v>
      </c>
      <c r="D35" s="50"/>
      <c r="E35" s="51"/>
      <c r="F35" s="52" t="s">
        <v>17</v>
      </c>
      <c r="G35" s="53"/>
      <c r="H35" s="12"/>
      <c r="I35" s="49"/>
      <c r="L35" s="2"/>
    </row>
    <row r="36" spans="2:12" ht="36.75" customHeight="1" x14ac:dyDescent="0.25">
      <c r="B36" s="43" t="s">
        <v>183</v>
      </c>
      <c r="C36" s="46" t="s">
        <v>184</v>
      </c>
      <c r="D36" s="47"/>
      <c r="E36" s="47"/>
      <c r="F36" s="47"/>
      <c r="G36" s="48"/>
      <c r="H36" s="10"/>
      <c r="I36" s="49"/>
    </row>
    <row r="37" spans="2:12" ht="65.099999999999994" customHeight="1" x14ac:dyDescent="0.25">
      <c r="B37" s="44"/>
      <c r="C37" s="50">
        <v>4</v>
      </c>
      <c r="D37" s="50"/>
      <c r="E37" s="51"/>
      <c r="F37" s="52" t="s">
        <v>185</v>
      </c>
      <c r="G37" s="53"/>
      <c r="H37" s="11"/>
      <c r="I37" s="49"/>
    </row>
    <row r="38" spans="2:12" s="1" customFormat="1" ht="34.5" customHeight="1" x14ac:dyDescent="0.25">
      <c r="B38" s="44"/>
      <c r="C38" s="50">
        <v>3</v>
      </c>
      <c r="D38" s="50"/>
      <c r="E38" s="51"/>
      <c r="F38" s="52" t="s">
        <v>186</v>
      </c>
      <c r="G38" s="53"/>
      <c r="H38" s="11"/>
      <c r="I38" s="49"/>
      <c r="L38" s="2"/>
    </row>
    <row r="39" spans="2:12" s="1" customFormat="1" x14ac:dyDescent="0.25">
      <c r="B39" s="45"/>
      <c r="C39" s="50">
        <v>0</v>
      </c>
      <c r="D39" s="50"/>
      <c r="E39" s="51"/>
      <c r="F39" s="52" t="s">
        <v>17</v>
      </c>
      <c r="G39" s="53"/>
      <c r="H39" s="12"/>
      <c r="I39" s="49"/>
      <c r="L39" s="2"/>
    </row>
    <row r="40" spans="2:12" ht="51" customHeight="1" x14ac:dyDescent="0.25">
      <c r="B40" s="43" t="s">
        <v>187</v>
      </c>
      <c r="C40" s="46" t="s">
        <v>188</v>
      </c>
      <c r="D40" s="47"/>
      <c r="E40" s="47"/>
      <c r="F40" s="47"/>
      <c r="G40" s="48"/>
      <c r="H40" s="10"/>
      <c r="I40" s="49"/>
    </row>
    <row r="41" spans="2:12" ht="95.1" customHeight="1" x14ac:dyDescent="0.25">
      <c r="B41" s="44"/>
      <c r="C41" s="50">
        <v>4</v>
      </c>
      <c r="D41" s="50"/>
      <c r="E41" s="51"/>
      <c r="F41" s="52" t="s">
        <v>189</v>
      </c>
      <c r="G41" s="53"/>
      <c r="H41" s="11"/>
      <c r="I41" s="49"/>
    </row>
    <row r="42" spans="2:12" s="1" customFormat="1" ht="49.5" customHeight="1" x14ac:dyDescent="0.25">
      <c r="B42" s="44"/>
      <c r="C42" s="50">
        <v>3</v>
      </c>
      <c r="D42" s="50"/>
      <c r="E42" s="51"/>
      <c r="F42" s="52" t="s">
        <v>190</v>
      </c>
      <c r="G42" s="53"/>
      <c r="H42" s="11"/>
      <c r="I42" s="49"/>
      <c r="L42" s="2"/>
    </row>
    <row r="43" spans="2:12" s="1" customFormat="1" x14ac:dyDescent="0.25">
      <c r="B43" s="45"/>
      <c r="C43" s="50">
        <v>0</v>
      </c>
      <c r="D43" s="50"/>
      <c r="E43" s="51"/>
      <c r="F43" s="52" t="s">
        <v>17</v>
      </c>
      <c r="G43" s="53"/>
      <c r="H43" s="12"/>
      <c r="I43" s="49"/>
      <c r="L43" s="2"/>
    </row>
    <row r="44" spans="2:12" ht="51" customHeight="1" x14ac:dyDescent="0.25">
      <c r="B44" s="43" t="s">
        <v>191</v>
      </c>
      <c r="C44" s="46" t="s">
        <v>192</v>
      </c>
      <c r="D44" s="47"/>
      <c r="E44" s="47"/>
      <c r="F44" s="47"/>
      <c r="G44" s="48"/>
      <c r="H44" s="10"/>
      <c r="I44" s="49"/>
    </row>
    <row r="45" spans="2:12" ht="207" customHeight="1" x14ac:dyDescent="0.25">
      <c r="B45" s="44"/>
      <c r="C45" s="50">
        <v>4</v>
      </c>
      <c r="D45" s="50"/>
      <c r="E45" s="51"/>
      <c r="F45" s="52" t="s">
        <v>193</v>
      </c>
      <c r="G45" s="53"/>
      <c r="H45" s="11"/>
      <c r="I45" s="49"/>
    </row>
    <row r="46" spans="2:12" s="1" customFormat="1" ht="163.5" customHeight="1" x14ac:dyDescent="0.25">
      <c r="B46" s="44"/>
      <c r="C46" s="50">
        <v>3</v>
      </c>
      <c r="D46" s="50"/>
      <c r="E46" s="51"/>
      <c r="F46" s="52" t="s">
        <v>194</v>
      </c>
      <c r="G46" s="53"/>
      <c r="H46" s="11"/>
      <c r="I46" s="49"/>
      <c r="L46" s="2"/>
    </row>
    <row r="47" spans="2:12" s="1" customFormat="1" x14ac:dyDescent="0.25">
      <c r="B47" s="45"/>
      <c r="C47" s="50">
        <v>0</v>
      </c>
      <c r="D47" s="50"/>
      <c r="E47" s="51"/>
      <c r="F47" s="52" t="s">
        <v>17</v>
      </c>
      <c r="G47" s="53"/>
      <c r="H47" s="12"/>
      <c r="I47" s="49"/>
      <c r="L47" s="2"/>
    </row>
    <row r="48" spans="2:12" ht="15" x14ac:dyDescent="0.25">
      <c r="B48" s="18"/>
      <c r="C48" s="18"/>
      <c r="D48" s="18"/>
      <c r="E48" s="18"/>
      <c r="F48" s="18"/>
      <c r="G48" s="18"/>
      <c r="H48" s="18"/>
      <c r="I48" s="18"/>
    </row>
    <row r="49" spans="1:12" s="1" customFormat="1" ht="32.1" customHeight="1" x14ac:dyDescent="0.25">
      <c r="B49" s="56" t="s">
        <v>36</v>
      </c>
      <c r="C49" s="55"/>
      <c r="D49" s="55"/>
      <c r="E49" s="55"/>
      <c r="F49" s="55"/>
      <c r="G49" s="55"/>
      <c r="H49" s="55"/>
      <c r="I49" s="53"/>
      <c r="L49" s="2"/>
    </row>
    <row r="50" spans="1:12" ht="18.75" x14ac:dyDescent="0.25">
      <c r="A50" s="42"/>
      <c r="B50" s="4" t="s">
        <v>7</v>
      </c>
      <c r="C50" s="68" t="s">
        <v>8</v>
      </c>
      <c r="D50" s="69"/>
      <c r="E50" s="69"/>
      <c r="F50" s="69"/>
      <c r="G50" s="70"/>
      <c r="H50" s="5" t="s">
        <v>9</v>
      </c>
      <c r="I50" s="5" t="s">
        <v>10</v>
      </c>
      <c r="J50" s="42"/>
      <c r="K50" s="42"/>
    </row>
    <row r="51" spans="1:12" s="1" customFormat="1" ht="18.75" x14ac:dyDescent="0.25">
      <c r="B51" s="6" t="s">
        <v>37</v>
      </c>
      <c r="C51" s="54" t="s">
        <v>38</v>
      </c>
      <c r="D51" s="55"/>
      <c r="E51" s="55"/>
      <c r="F51" s="55"/>
      <c r="G51" s="53"/>
      <c r="H51" s="7"/>
      <c r="I51" s="8"/>
      <c r="J51" s="9"/>
      <c r="L51" s="2"/>
    </row>
    <row r="52" spans="1:12" ht="35.25" customHeight="1" x14ac:dyDescent="0.25">
      <c r="B52" s="43" t="s">
        <v>13</v>
      </c>
      <c r="C52" s="46" t="s">
        <v>195</v>
      </c>
      <c r="D52" s="47"/>
      <c r="E52" s="47"/>
      <c r="F52" s="47"/>
      <c r="G52" s="48"/>
      <c r="H52" s="10"/>
      <c r="I52" s="49"/>
    </row>
    <row r="53" spans="1:12" ht="125.25" customHeight="1" x14ac:dyDescent="0.25">
      <c r="B53" s="44"/>
      <c r="C53" s="50">
        <v>4</v>
      </c>
      <c r="D53" s="50"/>
      <c r="E53" s="51"/>
      <c r="F53" s="52" t="s">
        <v>196</v>
      </c>
      <c r="G53" s="53"/>
      <c r="H53" s="11"/>
      <c r="I53" s="49"/>
    </row>
    <row r="54" spans="1:12" ht="79.5" customHeight="1" x14ac:dyDescent="0.25">
      <c r="B54" s="44"/>
      <c r="C54" s="50">
        <v>3</v>
      </c>
      <c r="D54" s="50"/>
      <c r="E54" s="51"/>
      <c r="F54" s="52" t="s">
        <v>197</v>
      </c>
      <c r="G54" s="53"/>
      <c r="H54" s="11"/>
      <c r="I54" s="49"/>
    </row>
    <row r="55" spans="1:12" x14ac:dyDescent="0.25">
      <c r="B55" s="45"/>
      <c r="C55" s="50">
        <v>0</v>
      </c>
      <c r="D55" s="50"/>
      <c r="E55" s="51"/>
      <c r="F55" s="52" t="s">
        <v>17</v>
      </c>
      <c r="G55" s="53"/>
      <c r="H55" s="12"/>
      <c r="I55" s="49"/>
    </row>
    <row r="56" spans="1:12" ht="18.75" x14ac:dyDescent="0.25">
      <c r="B56" s="43" t="s">
        <v>18</v>
      </c>
      <c r="C56" s="46" t="s">
        <v>198</v>
      </c>
      <c r="D56" s="47"/>
      <c r="E56" s="47"/>
      <c r="F56" s="47"/>
      <c r="G56" s="48"/>
      <c r="H56" s="10"/>
      <c r="I56" s="49"/>
    </row>
    <row r="57" spans="1:12" ht="79.5" customHeight="1" x14ac:dyDescent="0.25">
      <c r="B57" s="44"/>
      <c r="C57" s="50">
        <v>4</v>
      </c>
      <c r="D57" s="50"/>
      <c r="E57" s="51"/>
      <c r="F57" s="52" t="s">
        <v>199</v>
      </c>
      <c r="G57" s="53"/>
      <c r="H57" s="11"/>
      <c r="I57" s="49"/>
    </row>
    <row r="58" spans="1:12" ht="50.25" customHeight="1" x14ac:dyDescent="0.25">
      <c r="B58" s="44"/>
      <c r="C58" s="50">
        <v>3</v>
      </c>
      <c r="D58" s="50"/>
      <c r="E58" s="51"/>
      <c r="F58" s="52" t="s">
        <v>200</v>
      </c>
      <c r="G58" s="53"/>
      <c r="H58" s="11"/>
      <c r="I58" s="49"/>
    </row>
    <row r="59" spans="1:12" x14ac:dyDescent="0.25">
      <c r="B59" s="45"/>
      <c r="C59" s="50">
        <v>0</v>
      </c>
      <c r="D59" s="50"/>
      <c r="E59" s="51"/>
      <c r="F59" s="52" t="s">
        <v>17</v>
      </c>
      <c r="G59" s="53"/>
      <c r="H59" s="12"/>
      <c r="I59" s="49"/>
    </row>
    <row r="60" spans="1:12" ht="18.75" x14ac:dyDescent="0.25">
      <c r="B60" s="43" t="s">
        <v>22</v>
      </c>
      <c r="C60" s="46" t="s">
        <v>201</v>
      </c>
      <c r="D60" s="47"/>
      <c r="E60" s="47"/>
      <c r="F60" s="47"/>
      <c r="G60" s="48"/>
      <c r="H60" s="10"/>
      <c r="I60" s="49"/>
    </row>
    <row r="61" spans="1:12" ht="77.25" customHeight="1" x14ac:dyDescent="0.25">
      <c r="B61" s="44"/>
      <c r="C61" s="50">
        <v>4</v>
      </c>
      <c r="D61" s="50"/>
      <c r="E61" s="51"/>
      <c r="F61" s="52" t="s">
        <v>202</v>
      </c>
      <c r="G61" s="53"/>
      <c r="H61" s="11"/>
      <c r="I61" s="49"/>
    </row>
    <row r="62" spans="1:12" s="1" customFormat="1" ht="48" customHeight="1" x14ac:dyDescent="0.25">
      <c r="B62" s="44"/>
      <c r="C62" s="50">
        <v>3</v>
      </c>
      <c r="D62" s="50"/>
      <c r="E62" s="51"/>
      <c r="F62" s="52" t="s">
        <v>203</v>
      </c>
      <c r="G62" s="53"/>
      <c r="H62" s="11"/>
      <c r="I62" s="49"/>
      <c r="L62" s="2"/>
    </row>
    <row r="63" spans="1:12" s="1" customFormat="1" x14ac:dyDescent="0.25">
      <c r="B63" s="45"/>
      <c r="C63" s="50">
        <v>0</v>
      </c>
      <c r="D63" s="50"/>
      <c r="E63" s="51"/>
      <c r="F63" s="52"/>
      <c r="G63" s="53"/>
      <c r="H63" s="12"/>
      <c r="I63" s="49"/>
      <c r="L63" s="2"/>
    </row>
    <row r="64" spans="1:12" s="1" customFormat="1" ht="15" x14ac:dyDescent="0.25">
      <c r="L64" s="2"/>
    </row>
    <row r="65" spans="1:12" s="1" customFormat="1" ht="32.1" customHeight="1" x14ac:dyDescent="0.25">
      <c r="B65" s="56" t="s">
        <v>48</v>
      </c>
      <c r="C65" s="55"/>
      <c r="D65" s="55"/>
      <c r="E65" s="55"/>
      <c r="F65" s="55"/>
      <c r="G65" s="55"/>
      <c r="H65" s="55"/>
      <c r="I65" s="53"/>
      <c r="L65" s="2"/>
    </row>
    <row r="66" spans="1:12" ht="18.75" x14ac:dyDescent="0.25">
      <c r="A66" s="42"/>
      <c r="B66" s="4" t="s">
        <v>7</v>
      </c>
      <c r="C66" s="68" t="s">
        <v>8</v>
      </c>
      <c r="D66" s="69"/>
      <c r="E66" s="69"/>
      <c r="F66" s="69"/>
      <c r="G66" s="70"/>
      <c r="H66" s="5" t="s">
        <v>9</v>
      </c>
      <c r="I66" s="5" t="s">
        <v>10</v>
      </c>
      <c r="J66" s="42"/>
      <c r="K66" s="42"/>
    </row>
    <row r="67" spans="1:12" s="1" customFormat="1" ht="18.75" x14ac:dyDescent="0.25">
      <c r="B67" s="6" t="s">
        <v>49</v>
      </c>
      <c r="C67" s="54" t="s">
        <v>50</v>
      </c>
      <c r="D67" s="55"/>
      <c r="E67" s="55"/>
      <c r="F67" s="55"/>
      <c r="G67" s="53"/>
      <c r="H67" s="7"/>
      <c r="I67" s="8"/>
      <c r="J67" s="9"/>
      <c r="L67" s="2"/>
    </row>
    <row r="68" spans="1:12" s="1" customFormat="1" ht="32.25" customHeight="1" x14ac:dyDescent="0.25">
      <c r="B68" s="43" t="s">
        <v>13</v>
      </c>
      <c r="C68" s="46" t="s">
        <v>204</v>
      </c>
      <c r="D68" s="47"/>
      <c r="E68" s="47"/>
      <c r="F68" s="47"/>
      <c r="G68" s="48"/>
      <c r="H68" s="10"/>
      <c r="I68" s="49"/>
      <c r="L68" s="2"/>
    </row>
    <row r="69" spans="1:12" s="1" customFormat="1" ht="96.75" customHeight="1" x14ac:dyDescent="0.25">
      <c r="B69" s="44"/>
      <c r="C69" s="50">
        <v>4</v>
      </c>
      <c r="D69" s="50"/>
      <c r="E69" s="51"/>
      <c r="F69" s="52" t="s">
        <v>205</v>
      </c>
      <c r="G69" s="53"/>
      <c r="H69" s="11"/>
      <c r="I69" s="49"/>
      <c r="L69" s="2"/>
    </row>
    <row r="70" spans="1:12" s="1" customFormat="1" ht="81" customHeight="1" x14ac:dyDescent="0.25">
      <c r="B70" s="44"/>
      <c r="C70" s="50">
        <v>3</v>
      </c>
      <c r="D70" s="50"/>
      <c r="E70" s="51"/>
      <c r="F70" s="52" t="s">
        <v>206</v>
      </c>
      <c r="G70" s="53"/>
      <c r="H70" s="11"/>
      <c r="I70" s="49"/>
      <c r="L70" s="2"/>
    </row>
    <row r="71" spans="1:12" s="1" customFormat="1" x14ac:dyDescent="0.25">
      <c r="B71" s="45"/>
      <c r="C71" s="50">
        <v>0</v>
      </c>
      <c r="D71" s="50"/>
      <c r="E71" s="51"/>
      <c r="F71" s="52" t="s">
        <v>17</v>
      </c>
      <c r="G71" s="53"/>
      <c r="H71" s="12"/>
      <c r="I71" s="49"/>
      <c r="L71" s="2"/>
    </row>
    <row r="72" spans="1:12" s="1" customFormat="1" ht="47.25" customHeight="1" x14ac:dyDescent="0.25">
      <c r="B72" s="43" t="s">
        <v>18</v>
      </c>
      <c r="C72" s="46" t="s">
        <v>207</v>
      </c>
      <c r="D72" s="47"/>
      <c r="E72" s="47"/>
      <c r="F72" s="47"/>
      <c r="G72" s="48"/>
      <c r="H72" s="10"/>
      <c r="I72" s="49"/>
      <c r="L72" s="2"/>
    </row>
    <row r="73" spans="1:12" s="1" customFormat="1" ht="117" customHeight="1" x14ac:dyDescent="0.25">
      <c r="B73" s="44"/>
      <c r="C73" s="50">
        <v>4</v>
      </c>
      <c r="D73" s="50"/>
      <c r="E73" s="51"/>
      <c r="F73" s="52" t="s">
        <v>208</v>
      </c>
      <c r="G73" s="53"/>
      <c r="H73" s="11"/>
      <c r="I73" s="49"/>
      <c r="L73" s="2"/>
    </row>
    <row r="74" spans="1:12" s="1" customFormat="1" ht="81.75" customHeight="1" x14ac:dyDescent="0.25">
      <c r="B74" s="44"/>
      <c r="C74" s="50">
        <v>3</v>
      </c>
      <c r="D74" s="50"/>
      <c r="E74" s="51"/>
      <c r="F74" s="52" t="s">
        <v>209</v>
      </c>
      <c r="G74" s="53"/>
      <c r="H74" s="11"/>
      <c r="I74" s="49"/>
      <c r="L74" s="2"/>
    </row>
    <row r="75" spans="1:12" s="1" customFormat="1" x14ac:dyDescent="0.25">
      <c r="B75" s="45"/>
      <c r="C75" s="50">
        <v>0</v>
      </c>
      <c r="D75" s="50"/>
      <c r="E75" s="51"/>
      <c r="F75" s="52" t="s">
        <v>17</v>
      </c>
      <c r="G75" s="53"/>
      <c r="H75" s="12"/>
      <c r="I75" s="49"/>
      <c r="L75" s="2"/>
    </row>
    <row r="76" spans="1:12" s="1" customFormat="1" ht="32.25" customHeight="1" x14ac:dyDescent="0.25">
      <c r="B76" s="43" t="s">
        <v>22</v>
      </c>
      <c r="C76" s="46" t="s">
        <v>210</v>
      </c>
      <c r="D76" s="47"/>
      <c r="E76" s="47"/>
      <c r="F76" s="47"/>
      <c r="G76" s="48"/>
      <c r="H76" s="10"/>
      <c r="I76" s="49"/>
      <c r="L76" s="2"/>
    </row>
    <row r="77" spans="1:12" s="1" customFormat="1" ht="65.25" customHeight="1" x14ac:dyDescent="0.25">
      <c r="B77" s="44"/>
      <c r="C77" s="50">
        <v>4</v>
      </c>
      <c r="D77" s="50"/>
      <c r="E77" s="51"/>
      <c r="F77" s="52" t="s">
        <v>211</v>
      </c>
      <c r="G77" s="53"/>
      <c r="H77" s="11"/>
      <c r="I77" s="49"/>
      <c r="L77" s="2"/>
    </row>
    <row r="78" spans="1:12" s="1" customFormat="1" ht="35.25" customHeight="1" x14ac:dyDescent="0.25">
      <c r="B78" s="44"/>
      <c r="C78" s="50">
        <v>3</v>
      </c>
      <c r="D78" s="50"/>
      <c r="E78" s="51"/>
      <c r="F78" s="52" t="s">
        <v>212</v>
      </c>
      <c r="G78" s="53"/>
      <c r="H78" s="11"/>
      <c r="I78" s="49"/>
      <c r="L78" s="2"/>
    </row>
    <row r="79" spans="1:12" s="1" customFormat="1" x14ac:dyDescent="0.25">
      <c r="B79" s="45"/>
      <c r="C79" s="50">
        <v>0</v>
      </c>
      <c r="D79" s="50"/>
      <c r="E79" s="51"/>
      <c r="F79" s="52" t="s">
        <v>17</v>
      </c>
      <c r="G79" s="53"/>
      <c r="H79" s="12"/>
      <c r="I79" s="49"/>
      <c r="L79" s="2"/>
    </row>
    <row r="80" spans="1:12" s="1" customFormat="1" ht="35.25" customHeight="1" x14ac:dyDescent="0.25">
      <c r="B80" s="43" t="s">
        <v>183</v>
      </c>
      <c r="C80" s="46" t="s">
        <v>213</v>
      </c>
      <c r="D80" s="47"/>
      <c r="E80" s="47"/>
      <c r="F80" s="47"/>
      <c r="G80" s="48"/>
      <c r="H80" s="10"/>
      <c r="I80" s="49"/>
      <c r="L80" s="2"/>
    </row>
    <row r="81" spans="1:12" s="1" customFormat="1" ht="98.25" customHeight="1" x14ac:dyDescent="0.25">
      <c r="B81" s="44"/>
      <c r="C81" s="50">
        <v>4</v>
      </c>
      <c r="D81" s="50"/>
      <c r="E81" s="51"/>
      <c r="F81" s="52" t="s">
        <v>214</v>
      </c>
      <c r="G81" s="53"/>
      <c r="H81" s="11"/>
      <c r="I81" s="49"/>
      <c r="L81" s="2"/>
    </row>
    <row r="82" spans="1:12" s="1" customFormat="1" ht="47.25" customHeight="1" x14ac:dyDescent="0.25">
      <c r="B82" s="44"/>
      <c r="C82" s="50">
        <v>3</v>
      </c>
      <c r="D82" s="50"/>
      <c r="E82" s="51"/>
      <c r="F82" s="52" t="s">
        <v>215</v>
      </c>
      <c r="G82" s="53"/>
      <c r="H82" s="11"/>
      <c r="I82" s="49"/>
      <c r="L82" s="2"/>
    </row>
    <row r="83" spans="1:12" s="1" customFormat="1" x14ac:dyDescent="0.25">
      <c r="B83" s="45"/>
      <c r="C83" s="50">
        <v>0</v>
      </c>
      <c r="D83" s="50"/>
      <c r="E83" s="51"/>
      <c r="F83" s="52" t="s">
        <v>17</v>
      </c>
      <c r="G83" s="53"/>
      <c r="H83" s="12"/>
      <c r="I83" s="49"/>
      <c r="L83" s="2"/>
    </row>
    <row r="84" spans="1:12" s="1" customFormat="1" ht="15" x14ac:dyDescent="0.25">
      <c r="B84" s="18"/>
      <c r="C84" s="18"/>
      <c r="D84" s="18"/>
      <c r="E84" s="18"/>
      <c r="F84" s="18"/>
      <c r="G84" s="18"/>
      <c r="H84" s="18"/>
      <c r="I84" s="18"/>
      <c r="L84" s="2"/>
    </row>
    <row r="85" spans="1:12" s="1" customFormat="1" ht="32.1" customHeight="1" x14ac:dyDescent="0.25">
      <c r="B85" s="56" t="s">
        <v>60</v>
      </c>
      <c r="C85" s="55"/>
      <c r="D85" s="55"/>
      <c r="E85" s="55"/>
      <c r="F85" s="55"/>
      <c r="G85" s="55"/>
      <c r="H85" s="55"/>
      <c r="I85" s="53"/>
      <c r="L85" s="2"/>
    </row>
    <row r="86" spans="1:12" ht="18.75" x14ac:dyDescent="0.25">
      <c r="A86" s="42"/>
      <c r="B86" s="4" t="s">
        <v>7</v>
      </c>
      <c r="C86" s="68" t="s">
        <v>8</v>
      </c>
      <c r="D86" s="69"/>
      <c r="E86" s="69"/>
      <c r="F86" s="69"/>
      <c r="G86" s="70"/>
      <c r="H86" s="5" t="s">
        <v>9</v>
      </c>
      <c r="I86" s="5" t="s">
        <v>10</v>
      </c>
      <c r="J86" s="42"/>
      <c r="K86" s="42"/>
    </row>
    <row r="87" spans="1:12" s="1" customFormat="1" ht="18.75" x14ac:dyDescent="0.25">
      <c r="B87" s="6" t="s">
        <v>61</v>
      </c>
      <c r="C87" s="54" t="s">
        <v>62</v>
      </c>
      <c r="D87" s="55"/>
      <c r="E87" s="55"/>
      <c r="F87" s="55"/>
      <c r="G87" s="53"/>
      <c r="H87" s="7"/>
      <c r="I87" s="8"/>
      <c r="J87" s="9"/>
      <c r="L87" s="2"/>
    </row>
    <row r="88" spans="1:12" s="1" customFormat="1" ht="34.5" customHeight="1" x14ac:dyDescent="0.25">
      <c r="B88" s="43" t="s">
        <v>13</v>
      </c>
      <c r="C88" s="46" t="s">
        <v>216</v>
      </c>
      <c r="D88" s="47"/>
      <c r="E88" s="47"/>
      <c r="F88" s="47"/>
      <c r="G88" s="48"/>
      <c r="H88" s="10"/>
      <c r="I88" s="49"/>
      <c r="L88" s="2"/>
    </row>
    <row r="89" spans="1:12" s="1" customFormat="1" ht="94.5" customHeight="1" x14ac:dyDescent="0.25">
      <c r="B89" s="44"/>
      <c r="C89" s="50">
        <v>4</v>
      </c>
      <c r="D89" s="50"/>
      <c r="E89" s="51"/>
      <c r="F89" s="52" t="s">
        <v>217</v>
      </c>
      <c r="G89" s="53"/>
      <c r="H89" s="11"/>
      <c r="I89" s="49"/>
      <c r="L89" s="2"/>
    </row>
    <row r="90" spans="1:12" s="1" customFormat="1" ht="47.25" customHeight="1" x14ac:dyDescent="0.25">
      <c r="B90" s="44"/>
      <c r="C90" s="50">
        <v>3</v>
      </c>
      <c r="D90" s="50"/>
      <c r="E90" s="51"/>
      <c r="F90" s="52" t="s">
        <v>218</v>
      </c>
      <c r="G90" s="53"/>
      <c r="H90" s="11"/>
      <c r="I90" s="49"/>
      <c r="L90" s="2"/>
    </row>
    <row r="91" spans="1:12" s="1" customFormat="1" x14ac:dyDescent="0.25">
      <c r="B91" s="45"/>
      <c r="C91" s="50">
        <v>0</v>
      </c>
      <c r="D91" s="50"/>
      <c r="E91" s="51"/>
      <c r="F91" s="52" t="s">
        <v>17</v>
      </c>
      <c r="G91" s="53"/>
      <c r="H91" s="12"/>
      <c r="I91" s="49"/>
      <c r="L91" s="2"/>
    </row>
    <row r="92" spans="1:12" s="1" customFormat="1" ht="36" customHeight="1" x14ac:dyDescent="0.25">
      <c r="B92" s="43" t="s">
        <v>18</v>
      </c>
      <c r="C92" s="46" t="s">
        <v>219</v>
      </c>
      <c r="D92" s="47"/>
      <c r="E92" s="47"/>
      <c r="F92" s="47"/>
      <c r="G92" s="48"/>
      <c r="H92" s="10"/>
      <c r="I92" s="49"/>
      <c r="L92" s="2"/>
    </row>
    <row r="93" spans="1:12" s="1" customFormat="1" ht="39.75" customHeight="1" x14ac:dyDescent="0.25">
      <c r="B93" s="44"/>
      <c r="C93" s="50">
        <v>4</v>
      </c>
      <c r="D93" s="50"/>
      <c r="E93" s="51"/>
      <c r="F93" s="52" t="s">
        <v>220</v>
      </c>
      <c r="G93" s="53"/>
      <c r="H93" s="11"/>
      <c r="I93" s="49"/>
      <c r="L93" s="2"/>
    </row>
    <row r="94" spans="1:12" s="1" customFormat="1" ht="45" customHeight="1" x14ac:dyDescent="0.25">
      <c r="B94" s="44"/>
      <c r="C94" s="50">
        <v>3</v>
      </c>
      <c r="D94" s="50"/>
      <c r="E94" s="51"/>
      <c r="F94" s="52" t="s">
        <v>221</v>
      </c>
      <c r="G94" s="53"/>
      <c r="H94" s="11"/>
      <c r="I94" s="49"/>
      <c r="L94" s="2"/>
    </row>
    <row r="95" spans="1:12" s="1" customFormat="1" x14ac:dyDescent="0.25">
      <c r="B95" s="45"/>
      <c r="C95" s="50">
        <v>0</v>
      </c>
      <c r="D95" s="50"/>
      <c r="E95" s="51"/>
      <c r="F95" s="52" t="s">
        <v>17</v>
      </c>
      <c r="G95" s="53"/>
      <c r="H95" s="12"/>
      <c r="I95" s="49"/>
      <c r="L95" s="2"/>
    </row>
    <row r="96" spans="1:12" s="1" customFormat="1" ht="31.5" customHeight="1" x14ac:dyDescent="0.25">
      <c r="B96" s="43" t="s">
        <v>22</v>
      </c>
      <c r="C96" s="46" t="s">
        <v>69</v>
      </c>
      <c r="D96" s="47"/>
      <c r="E96" s="47"/>
      <c r="F96" s="47"/>
      <c r="G96" s="48"/>
      <c r="H96" s="10"/>
      <c r="I96" s="49"/>
      <c r="L96" s="2"/>
    </row>
    <row r="97" spans="2:12" s="1" customFormat="1" ht="83.1" customHeight="1" x14ac:dyDescent="0.25">
      <c r="B97" s="44"/>
      <c r="C97" s="50">
        <v>4</v>
      </c>
      <c r="D97" s="50"/>
      <c r="E97" s="51"/>
      <c r="F97" s="52" t="s">
        <v>70</v>
      </c>
      <c r="G97" s="53"/>
      <c r="H97" s="11"/>
      <c r="I97" s="49"/>
      <c r="L97" s="2"/>
    </row>
    <row r="98" spans="2:12" s="1" customFormat="1" ht="53.1" customHeight="1" x14ac:dyDescent="0.25">
      <c r="B98" s="44"/>
      <c r="C98" s="50">
        <v>3</v>
      </c>
      <c r="D98" s="50"/>
      <c r="E98" s="51"/>
      <c r="F98" s="52" t="s">
        <v>71</v>
      </c>
      <c r="G98" s="53"/>
      <c r="H98" s="11"/>
      <c r="I98" s="49"/>
      <c r="L98" s="2"/>
    </row>
    <row r="99" spans="2:12" s="1" customFormat="1" x14ac:dyDescent="0.25">
      <c r="B99" s="45"/>
      <c r="C99" s="50">
        <v>0</v>
      </c>
      <c r="D99" s="50"/>
      <c r="E99" s="51"/>
      <c r="F99" s="52" t="s">
        <v>17</v>
      </c>
      <c r="G99" s="53"/>
      <c r="H99" s="12"/>
      <c r="I99" s="49"/>
      <c r="L99" s="2"/>
    </row>
    <row r="100" spans="2:12" s="1" customFormat="1" ht="18.75" x14ac:dyDescent="0.25">
      <c r="B100" s="6" t="s">
        <v>72</v>
      </c>
      <c r="C100" s="54" t="s">
        <v>73</v>
      </c>
      <c r="D100" s="55"/>
      <c r="E100" s="55"/>
      <c r="F100" s="55"/>
      <c r="G100" s="53"/>
      <c r="H100" s="7"/>
      <c r="I100" s="8"/>
      <c r="J100" s="9"/>
      <c r="L100" s="2"/>
    </row>
    <row r="101" spans="2:12" s="1" customFormat="1" ht="49.5" customHeight="1" x14ac:dyDescent="0.25">
      <c r="B101" s="43" t="s">
        <v>13</v>
      </c>
      <c r="C101" s="46" t="s">
        <v>222</v>
      </c>
      <c r="D101" s="47"/>
      <c r="E101" s="47"/>
      <c r="F101" s="47"/>
      <c r="G101" s="48"/>
      <c r="H101" s="10"/>
      <c r="I101" s="49"/>
      <c r="L101" s="2"/>
    </row>
    <row r="102" spans="2:12" s="1" customFormat="1" ht="141" customHeight="1" x14ac:dyDescent="0.25">
      <c r="B102" s="44"/>
      <c r="C102" s="50">
        <v>4</v>
      </c>
      <c r="D102" s="50"/>
      <c r="E102" s="51"/>
      <c r="F102" s="52" t="s">
        <v>223</v>
      </c>
      <c r="G102" s="53"/>
      <c r="H102" s="11"/>
      <c r="I102" s="49"/>
      <c r="L102" s="2"/>
    </row>
    <row r="103" spans="2:12" s="1" customFormat="1" ht="141" customHeight="1" x14ac:dyDescent="0.25">
      <c r="B103" s="44"/>
      <c r="C103" s="50">
        <v>3</v>
      </c>
      <c r="D103" s="50"/>
      <c r="E103" s="51"/>
      <c r="F103" s="52" t="s">
        <v>224</v>
      </c>
      <c r="G103" s="53"/>
      <c r="H103" s="11"/>
      <c r="I103" s="49"/>
      <c r="L103" s="2"/>
    </row>
    <row r="104" spans="2:12" s="1" customFormat="1" x14ac:dyDescent="0.25">
      <c r="B104" s="45"/>
      <c r="C104" s="50">
        <v>0</v>
      </c>
      <c r="D104" s="50"/>
      <c r="E104" s="51"/>
      <c r="F104" s="52" t="s">
        <v>17</v>
      </c>
      <c r="G104" s="53"/>
      <c r="H104" s="12"/>
      <c r="I104" s="49"/>
      <c r="L104" s="2"/>
    </row>
    <row r="105" spans="2:12" s="1" customFormat="1" ht="18.75" x14ac:dyDescent="0.25">
      <c r="B105" s="43" t="s">
        <v>18</v>
      </c>
      <c r="C105" s="46" t="s">
        <v>77</v>
      </c>
      <c r="D105" s="47"/>
      <c r="E105" s="47"/>
      <c r="F105" s="47"/>
      <c r="G105" s="48"/>
      <c r="H105" s="10"/>
      <c r="I105" s="49"/>
      <c r="L105" s="2"/>
    </row>
    <row r="106" spans="2:12" s="1" customFormat="1" ht="32.25" customHeight="1" x14ac:dyDescent="0.25">
      <c r="B106" s="44"/>
      <c r="C106" s="50">
        <v>4</v>
      </c>
      <c r="D106" s="50"/>
      <c r="E106" s="51"/>
      <c r="F106" s="52" t="s">
        <v>78</v>
      </c>
      <c r="G106" s="53"/>
      <c r="H106" s="11"/>
      <c r="I106" s="49"/>
      <c r="L106" s="2"/>
    </row>
    <row r="107" spans="2:12" s="1" customFormat="1" ht="32.25" customHeight="1" x14ac:dyDescent="0.25">
      <c r="B107" s="44"/>
      <c r="C107" s="50">
        <v>3</v>
      </c>
      <c r="D107" s="50"/>
      <c r="E107" s="51"/>
      <c r="F107" s="52" t="s">
        <v>79</v>
      </c>
      <c r="G107" s="53"/>
      <c r="H107" s="11"/>
      <c r="I107" s="49"/>
      <c r="L107" s="2"/>
    </row>
    <row r="108" spans="2:12" s="1" customFormat="1" x14ac:dyDescent="0.25">
      <c r="B108" s="45"/>
      <c r="C108" s="50">
        <v>0</v>
      </c>
      <c r="D108" s="50"/>
      <c r="E108" s="51"/>
      <c r="F108" s="52" t="s">
        <v>17</v>
      </c>
      <c r="G108" s="53"/>
      <c r="H108" s="12"/>
      <c r="I108" s="49"/>
      <c r="L108" s="2"/>
    </row>
    <row r="109" spans="2:12" s="1" customFormat="1" ht="18.75" x14ac:dyDescent="0.25">
      <c r="B109" s="6" t="s">
        <v>80</v>
      </c>
      <c r="C109" s="54" t="s">
        <v>81</v>
      </c>
      <c r="D109" s="55"/>
      <c r="E109" s="55"/>
      <c r="F109" s="55"/>
      <c r="G109" s="53"/>
      <c r="H109" s="7"/>
      <c r="I109" s="8"/>
      <c r="J109" s="9"/>
      <c r="L109" s="2"/>
    </row>
    <row r="110" spans="2:12" s="1" customFormat="1" ht="67.5" customHeight="1" x14ac:dyDescent="0.25">
      <c r="B110" s="43" t="s">
        <v>13</v>
      </c>
      <c r="C110" s="46" t="s">
        <v>225</v>
      </c>
      <c r="D110" s="47"/>
      <c r="E110" s="47"/>
      <c r="F110" s="47"/>
      <c r="G110" s="48"/>
      <c r="H110" s="10"/>
      <c r="I110" s="49"/>
      <c r="L110" s="2"/>
    </row>
    <row r="111" spans="2:12" s="1" customFormat="1" ht="146.1" customHeight="1" x14ac:dyDescent="0.25">
      <c r="B111" s="44"/>
      <c r="C111" s="50">
        <v>4</v>
      </c>
      <c r="D111" s="50"/>
      <c r="E111" s="51"/>
      <c r="F111" s="52" t="s">
        <v>226</v>
      </c>
      <c r="G111" s="53"/>
      <c r="H111" s="11"/>
      <c r="I111" s="49"/>
      <c r="L111" s="2"/>
    </row>
    <row r="112" spans="2:12" s="1" customFormat="1" ht="109.5" customHeight="1" x14ac:dyDescent="0.25">
      <c r="B112" s="44"/>
      <c r="C112" s="50">
        <v>3</v>
      </c>
      <c r="D112" s="50"/>
      <c r="E112" s="51"/>
      <c r="F112" s="52" t="s">
        <v>227</v>
      </c>
      <c r="G112" s="53"/>
      <c r="H112" s="11"/>
      <c r="I112" s="49"/>
      <c r="L112" s="2"/>
    </row>
    <row r="113" spans="1:12" s="1" customFormat="1" x14ac:dyDescent="0.25">
      <c r="B113" s="45"/>
      <c r="C113" s="50">
        <v>0</v>
      </c>
      <c r="D113" s="50"/>
      <c r="E113" s="51"/>
      <c r="F113" s="52" t="s">
        <v>17</v>
      </c>
      <c r="G113" s="53"/>
      <c r="H113" s="12"/>
      <c r="I113" s="49"/>
      <c r="L113" s="2"/>
    </row>
    <row r="114" spans="1:12" s="1" customFormat="1" ht="27.75" customHeight="1" x14ac:dyDescent="0.25">
      <c r="B114" s="43" t="s">
        <v>18</v>
      </c>
      <c r="C114" s="46" t="s">
        <v>85</v>
      </c>
      <c r="D114" s="47"/>
      <c r="E114" s="47"/>
      <c r="F114" s="47"/>
      <c r="G114" s="48"/>
      <c r="H114" s="10"/>
      <c r="I114" s="49"/>
      <c r="L114" s="2"/>
    </row>
    <row r="115" spans="1:12" s="1" customFormat="1" ht="39" customHeight="1" x14ac:dyDescent="0.25">
      <c r="B115" s="44"/>
      <c r="C115" s="50">
        <v>4</v>
      </c>
      <c r="D115" s="50"/>
      <c r="E115" s="51"/>
      <c r="F115" s="52" t="s">
        <v>86</v>
      </c>
      <c r="G115" s="53"/>
      <c r="H115" s="11"/>
      <c r="I115" s="49"/>
      <c r="L115" s="2"/>
    </row>
    <row r="116" spans="1:12" s="1" customFormat="1" ht="39.75" customHeight="1" x14ac:dyDescent="0.25">
      <c r="B116" s="44"/>
      <c r="C116" s="50">
        <v>3</v>
      </c>
      <c r="D116" s="50"/>
      <c r="E116" s="51"/>
      <c r="F116" s="52" t="s">
        <v>87</v>
      </c>
      <c r="G116" s="53"/>
      <c r="H116" s="11"/>
      <c r="I116" s="49"/>
      <c r="L116" s="2"/>
    </row>
    <row r="117" spans="1:12" s="1" customFormat="1" x14ac:dyDescent="0.25">
      <c r="B117" s="45"/>
      <c r="C117" s="50">
        <v>0</v>
      </c>
      <c r="D117" s="50"/>
      <c r="E117" s="51"/>
      <c r="F117" s="52" t="s">
        <v>17</v>
      </c>
      <c r="G117" s="53"/>
      <c r="H117" s="12"/>
      <c r="I117" s="49"/>
      <c r="L117" s="2"/>
    </row>
    <row r="118" spans="1:12" s="1" customFormat="1" ht="15" x14ac:dyDescent="0.25">
      <c r="B118" s="18"/>
      <c r="C118" s="18"/>
      <c r="D118" s="18"/>
      <c r="E118" s="18"/>
      <c r="F118" s="18"/>
      <c r="G118" s="18"/>
      <c r="H118" s="18"/>
      <c r="I118" s="18"/>
      <c r="L118" s="2"/>
    </row>
    <row r="119" spans="1:12" s="1" customFormat="1" ht="32.1" customHeight="1" x14ac:dyDescent="0.25">
      <c r="B119" s="57" t="s">
        <v>88</v>
      </c>
      <c r="C119" s="58"/>
      <c r="D119" s="58"/>
      <c r="E119" s="58"/>
      <c r="F119" s="58"/>
      <c r="G119" s="58"/>
      <c r="H119" s="58"/>
      <c r="I119" s="59"/>
      <c r="L119" s="2"/>
    </row>
    <row r="120" spans="1:12" ht="18.75" x14ac:dyDescent="0.25">
      <c r="A120" s="42"/>
      <c r="B120" s="4" t="s">
        <v>7</v>
      </c>
      <c r="C120" s="68" t="s">
        <v>8</v>
      </c>
      <c r="D120" s="69"/>
      <c r="E120" s="69"/>
      <c r="F120" s="69"/>
      <c r="G120" s="70"/>
      <c r="H120" s="5" t="s">
        <v>9</v>
      </c>
      <c r="I120" s="5" t="s">
        <v>10</v>
      </c>
      <c r="J120" s="42"/>
      <c r="K120" s="42"/>
    </row>
    <row r="121" spans="1:12" s="42" customFormat="1" ht="18.75" x14ac:dyDescent="0.25">
      <c r="B121" s="6">
        <v>6</v>
      </c>
      <c r="C121" s="54" t="s">
        <v>251</v>
      </c>
      <c r="D121" s="55"/>
      <c r="E121" s="55"/>
      <c r="F121" s="55"/>
      <c r="G121" s="53"/>
      <c r="H121" s="7"/>
      <c r="I121" s="8"/>
      <c r="J121" s="9"/>
      <c r="L121" s="2"/>
    </row>
    <row r="122" spans="1:12" s="1" customFormat="1" ht="47.25" customHeight="1" x14ac:dyDescent="0.25">
      <c r="B122" s="43" t="s">
        <v>13</v>
      </c>
      <c r="C122" s="60" t="s">
        <v>228</v>
      </c>
      <c r="D122" s="61"/>
      <c r="E122" s="61"/>
      <c r="F122" s="61"/>
      <c r="G122" s="62"/>
      <c r="H122" s="10"/>
      <c r="I122" s="49"/>
      <c r="L122" s="2"/>
    </row>
    <row r="123" spans="1:12" s="1" customFormat="1" ht="140.1" customHeight="1" x14ac:dyDescent="0.25">
      <c r="B123" s="44"/>
      <c r="C123" s="63">
        <v>4</v>
      </c>
      <c r="D123" s="50"/>
      <c r="E123" s="51"/>
      <c r="F123" s="64" t="s">
        <v>229</v>
      </c>
      <c r="G123" s="65"/>
      <c r="H123" s="11"/>
      <c r="I123" s="49"/>
      <c r="L123" s="2"/>
    </row>
    <row r="124" spans="1:12" s="1" customFormat="1" ht="111.75" customHeight="1" x14ac:dyDescent="0.25">
      <c r="B124" s="44"/>
      <c r="C124" s="50">
        <v>3</v>
      </c>
      <c r="D124" s="50"/>
      <c r="E124" s="51"/>
      <c r="F124" s="64" t="s">
        <v>230</v>
      </c>
      <c r="G124" s="65"/>
      <c r="H124" s="11"/>
      <c r="I124" s="49"/>
      <c r="L124" s="2"/>
    </row>
    <row r="125" spans="1:12" s="1" customFormat="1" x14ac:dyDescent="0.25">
      <c r="B125" s="44"/>
      <c r="C125" s="50">
        <v>0</v>
      </c>
      <c r="D125" s="50"/>
      <c r="E125" s="51"/>
      <c r="F125" s="52"/>
      <c r="G125" s="53"/>
      <c r="H125" s="12"/>
      <c r="I125" s="49"/>
      <c r="L125" s="2"/>
    </row>
    <row r="126" spans="1:12" s="1" customFormat="1" ht="50.25" customHeight="1" x14ac:dyDescent="0.25">
      <c r="B126" s="43" t="s">
        <v>18</v>
      </c>
      <c r="C126" s="46" t="s">
        <v>231</v>
      </c>
      <c r="D126" s="47"/>
      <c r="E126" s="47"/>
      <c r="F126" s="47"/>
      <c r="G126" s="48"/>
      <c r="H126" s="10"/>
      <c r="I126" s="49"/>
      <c r="L126" s="2"/>
    </row>
    <row r="127" spans="1:12" s="1" customFormat="1" ht="78" customHeight="1" x14ac:dyDescent="0.25">
      <c r="B127" s="44"/>
      <c r="C127" s="50">
        <v>4</v>
      </c>
      <c r="D127" s="50"/>
      <c r="E127" s="51"/>
      <c r="F127" s="52" t="s">
        <v>232</v>
      </c>
      <c r="G127" s="53"/>
      <c r="H127" s="11"/>
      <c r="I127" s="49"/>
      <c r="L127" s="2"/>
    </row>
    <row r="128" spans="1:12" s="1" customFormat="1" ht="51" customHeight="1" x14ac:dyDescent="0.25">
      <c r="B128" s="44"/>
      <c r="C128" s="50">
        <v>3</v>
      </c>
      <c r="D128" s="50"/>
      <c r="E128" s="51"/>
      <c r="F128" s="52" t="s">
        <v>233</v>
      </c>
      <c r="G128" s="53"/>
      <c r="H128" s="11"/>
      <c r="I128" s="49"/>
      <c r="L128" s="2"/>
    </row>
    <row r="129" spans="1:12" s="1" customFormat="1" x14ac:dyDescent="0.25">
      <c r="B129" s="45"/>
      <c r="C129" s="50">
        <v>0</v>
      </c>
      <c r="D129" s="50"/>
      <c r="E129" s="51"/>
      <c r="F129" s="52"/>
      <c r="G129" s="53"/>
      <c r="H129" s="12"/>
      <c r="I129" s="49"/>
      <c r="L129" s="2"/>
    </row>
    <row r="130" spans="1:12" s="1" customFormat="1" ht="51.75" customHeight="1" x14ac:dyDescent="0.25">
      <c r="B130" s="43" t="s">
        <v>22</v>
      </c>
      <c r="C130" s="46" t="s">
        <v>234</v>
      </c>
      <c r="D130" s="47"/>
      <c r="E130" s="47"/>
      <c r="F130" s="47"/>
      <c r="G130" s="48"/>
      <c r="H130" s="10"/>
      <c r="I130" s="49"/>
      <c r="L130" s="2"/>
    </row>
    <row r="131" spans="1:12" s="1" customFormat="1" ht="48" customHeight="1" x14ac:dyDescent="0.25">
      <c r="B131" s="44"/>
      <c r="C131" s="50">
        <v>4</v>
      </c>
      <c r="D131" s="50"/>
      <c r="E131" s="51"/>
      <c r="F131" s="52" t="s">
        <v>235</v>
      </c>
      <c r="G131" s="53"/>
      <c r="H131" s="11"/>
      <c r="I131" s="49"/>
      <c r="L131" s="2"/>
    </row>
    <row r="132" spans="1:12" s="1" customFormat="1" ht="48" customHeight="1" x14ac:dyDescent="0.25">
      <c r="B132" s="44"/>
      <c r="C132" s="50">
        <v>3</v>
      </c>
      <c r="D132" s="50"/>
      <c r="E132" s="51"/>
      <c r="F132" s="52" t="s">
        <v>236</v>
      </c>
      <c r="G132" s="53"/>
      <c r="H132" s="11"/>
      <c r="I132" s="49"/>
      <c r="L132" s="2"/>
    </row>
    <row r="133" spans="1:12" s="1" customFormat="1" x14ac:dyDescent="0.25">
      <c r="B133" s="45"/>
      <c r="C133" s="50">
        <v>0</v>
      </c>
      <c r="D133" s="50"/>
      <c r="E133" s="51"/>
      <c r="F133" s="52"/>
      <c r="G133" s="53"/>
      <c r="H133" s="12"/>
      <c r="I133" s="49"/>
      <c r="L133" s="2"/>
    </row>
    <row r="135" spans="1:12" s="1" customFormat="1" ht="32.1" customHeight="1" x14ac:dyDescent="0.25">
      <c r="B135" s="56" t="s">
        <v>95</v>
      </c>
      <c r="C135" s="55"/>
      <c r="D135" s="55"/>
      <c r="E135" s="55"/>
      <c r="F135" s="55"/>
      <c r="G135" s="55"/>
      <c r="H135" s="55"/>
      <c r="I135" s="53"/>
      <c r="L135" s="2"/>
    </row>
    <row r="136" spans="1:12" ht="18.75" x14ac:dyDescent="0.25">
      <c r="A136" s="42"/>
      <c r="B136" s="4" t="s">
        <v>7</v>
      </c>
      <c r="C136" s="68" t="s">
        <v>8</v>
      </c>
      <c r="D136" s="69"/>
      <c r="E136" s="69"/>
      <c r="F136" s="69"/>
      <c r="G136" s="70"/>
      <c r="H136" s="5" t="s">
        <v>9</v>
      </c>
      <c r="I136" s="5" t="s">
        <v>10</v>
      </c>
      <c r="J136" s="42"/>
      <c r="K136" s="42"/>
    </row>
    <row r="137" spans="1:12" s="42" customFormat="1" ht="18.75" x14ac:dyDescent="0.25">
      <c r="B137" s="6">
        <v>7</v>
      </c>
      <c r="C137" s="54" t="s">
        <v>252</v>
      </c>
      <c r="D137" s="55"/>
      <c r="E137" s="55"/>
      <c r="F137" s="55"/>
      <c r="G137" s="53"/>
      <c r="H137" s="7"/>
      <c r="I137" s="8"/>
      <c r="J137" s="9"/>
      <c r="L137" s="2"/>
    </row>
    <row r="138" spans="1:12" s="1" customFormat="1" ht="33" customHeight="1" x14ac:dyDescent="0.25">
      <c r="B138" s="43" t="s">
        <v>13</v>
      </c>
      <c r="C138" s="46" t="s">
        <v>237</v>
      </c>
      <c r="D138" s="47"/>
      <c r="E138" s="47"/>
      <c r="F138" s="47"/>
      <c r="G138" s="48"/>
      <c r="H138" s="10"/>
      <c r="I138" s="49"/>
      <c r="L138" s="2"/>
    </row>
    <row r="139" spans="1:12" s="1" customFormat="1" ht="174.95" customHeight="1" x14ac:dyDescent="0.25">
      <c r="B139" s="44"/>
      <c r="C139" s="50">
        <v>4</v>
      </c>
      <c r="D139" s="50"/>
      <c r="E139" s="51"/>
      <c r="F139" s="52" t="s">
        <v>238</v>
      </c>
      <c r="G139" s="53"/>
      <c r="H139" s="11"/>
      <c r="I139" s="49"/>
      <c r="L139" s="2"/>
    </row>
    <row r="140" spans="1:12" s="1" customFormat="1" ht="142.5" customHeight="1" x14ac:dyDescent="0.25">
      <c r="B140" s="44"/>
      <c r="C140" s="50">
        <v>3</v>
      </c>
      <c r="D140" s="50"/>
      <c r="E140" s="51"/>
      <c r="F140" s="52" t="s">
        <v>239</v>
      </c>
      <c r="G140" s="53"/>
      <c r="H140" s="11"/>
      <c r="I140" s="49"/>
      <c r="L140" s="2"/>
    </row>
    <row r="141" spans="1:12" s="1" customFormat="1" x14ac:dyDescent="0.25">
      <c r="B141" s="45"/>
      <c r="C141" s="50">
        <v>0</v>
      </c>
      <c r="D141" s="50"/>
      <c r="E141" s="51"/>
      <c r="F141" s="52"/>
      <c r="G141" s="53"/>
      <c r="H141" s="12"/>
      <c r="I141" s="49"/>
      <c r="L141" s="2"/>
    </row>
    <row r="142" spans="1:12" s="1" customFormat="1" ht="36" customHeight="1" x14ac:dyDescent="0.25">
      <c r="B142" s="43" t="s">
        <v>18</v>
      </c>
      <c r="C142" s="46" t="s">
        <v>240</v>
      </c>
      <c r="D142" s="47"/>
      <c r="E142" s="47"/>
      <c r="F142" s="47"/>
      <c r="G142" s="48"/>
      <c r="H142" s="10"/>
      <c r="I142" s="49"/>
      <c r="L142" s="2"/>
    </row>
    <row r="143" spans="1:12" s="1" customFormat="1" ht="126.75" customHeight="1" x14ac:dyDescent="0.25">
      <c r="B143" s="44"/>
      <c r="C143" s="50">
        <v>4</v>
      </c>
      <c r="D143" s="50"/>
      <c r="E143" s="51"/>
      <c r="F143" s="52" t="s">
        <v>241</v>
      </c>
      <c r="G143" s="53"/>
      <c r="H143" s="11"/>
      <c r="I143" s="49"/>
      <c r="L143" s="2"/>
    </row>
    <row r="144" spans="1:12" s="1" customFormat="1" ht="98.25" customHeight="1" x14ac:dyDescent="0.25">
      <c r="B144" s="44"/>
      <c r="C144" s="50">
        <v>3</v>
      </c>
      <c r="D144" s="50"/>
      <c r="E144" s="51"/>
      <c r="F144" s="52" t="s">
        <v>242</v>
      </c>
      <c r="G144" s="53"/>
      <c r="H144" s="11"/>
      <c r="I144" s="49"/>
      <c r="L144" s="2"/>
    </row>
    <row r="145" spans="1:12" s="1" customFormat="1" x14ac:dyDescent="0.25">
      <c r="B145" s="45"/>
      <c r="C145" s="50">
        <v>0</v>
      </c>
      <c r="D145" s="50"/>
      <c r="E145" s="51"/>
      <c r="F145" s="52"/>
      <c r="G145" s="53"/>
      <c r="H145" s="12"/>
      <c r="I145" s="49"/>
      <c r="L145" s="2"/>
    </row>
    <row r="147" spans="1:12" s="1" customFormat="1" ht="32.1" customHeight="1" x14ac:dyDescent="0.25">
      <c r="B147" s="56" t="s">
        <v>101</v>
      </c>
      <c r="C147" s="55"/>
      <c r="D147" s="55"/>
      <c r="E147" s="55"/>
      <c r="F147" s="55"/>
      <c r="G147" s="55"/>
      <c r="H147" s="55"/>
      <c r="I147" s="53"/>
      <c r="L147" s="2"/>
    </row>
    <row r="148" spans="1:12" ht="18.75" x14ac:dyDescent="0.25">
      <c r="A148" s="42"/>
      <c r="B148" s="4" t="s">
        <v>7</v>
      </c>
      <c r="C148" s="68" t="s">
        <v>8</v>
      </c>
      <c r="D148" s="69"/>
      <c r="E148" s="69"/>
      <c r="F148" s="69"/>
      <c r="G148" s="70"/>
      <c r="H148" s="5" t="s">
        <v>9</v>
      </c>
      <c r="I148" s="5" t="s">
        <v>10</v>
      </c>
      <c r="J148" s="42"/>
      <c r="K148" s="42"/>
    </row>
    <row r="149" spans="1:12" s="42" customFormat="1" ht="18.75" x14ac:dyDescent="0.25">
      <c r="B149" s="6">
        <v>8</v>
      </c>
      <c r="C149" s="54" t="s">
        <v>253</v>
      </c>
      <c r="D149" s="55"/>
      <c r="E149" s="55"/>
      <c r="F149" s="55"/>
      <c r="G149" s="53"/>
      <c r="H149" s="7"/>
      <c r="I149" s="8"/>
      <c r="J149" s="9"/>
      <c r="L149" s="2"/>
    </row>
    <row r="150" spans="1:12" s="1" customFormat="1" ht="34.5" customHeight="1" x14ac:dyDescent="0.25">
      <c r="B150" s="43" t="s">
        <v>13</v>
      </c>
      <c r="C150" s="46" t="s">
        <v>243</v>
      </c>
      <c r="D150" s="47"/>
      <c r="E150" s="47"/>
      <c r="F150" s="47"/>
      <c r="G150" s="48"/>
      <c r="H150" s="10"/>
      <c r="I150" s="49"/>
      <c r="L150" s="2"/>
    </row>
    <row r="151" spans="1:12" s="1" customFormat="1" ht="78.95" customHeight="1" x14ac:dyDescent="0.25">
      <c r="B151" s="44"/>
      <c r="C151" s="50">
        <v>4</v>
      </c>
      <c r="D151" s="50"/>
      <c r="E151" s="51"/>
      <c r="F151" s="52" t="s">
        <v>244</v>
      </c>
      <c r="G151" s="53"/>
      <c r="H151" s="11"/>
      <c r="I151" s="49"/>
      <c r="L151" s="2"/>
    </row>
    <row r="152" spans="1:12" s="1" customFormat="1" ht="78.95" customHeight="1" x14ac:dyDescent="0.25">
      <c r="B152" s="44"/>
      <c r="C152" s="50">
        <v>3</v>
      </c>
      <c r="D152" s="50"/>
      <c r="E152" s="51"/>
      <c r="F152" s="52" t="s">
        <v>245</v>
      </c>
      <c r="G152" s="53"/>
      <c r="H152" s="11"/>
      <c r="I152" s="49"/>
      <c r="L152" s="2"/>
    </row>
    <row r="153" spans="1:12" s="1" customFormat="1" x14ac:dyDescent="0.25">
      <c r="B153" s="45"/>
      <c r="C153" s="50">
        <v>0</v>
      </c>
      <c r="D153" s="50"/>
      <c r="E153" s="51"/>
      <c r="F153" s="52"/>
      <c r="G153" s="53"/>
      <c r="H153" s="12"/>
      <c r="I153" s="49"/>
      <c r="L153" s="2"/>
    </row>
    <row r="154" spans="1:12" s="1" customFormat="1" ht="18.75" x14ac:dyDescent="0.25">
      <c r="B154" s="43" t="s">
        <v>18</v>
      </c>
      <c r="C154" s="46" t="s">
        <v>105</v>
      </c>
      <c r="D154" s="47"/>
      <c r="E154" s="47"/>
      <c r="F154" s="47"/>
      <c r="G154" s="48"/>
      <c r="H154" s="10"/>
      <c r="I154" s="49"/>
      <c r="L154" s="2"/>
    </row>
    <row r="155" spans="1:12" s="1" customFormat="1" ht="48.75" customHeight="1" x14ac:dyDescent="0.25">
      <c r="B155" s="44"/>
      <c r="C155" s="50">
        <v>4</v>
      </c>
      <c r="D155" s="50"/>
      <c r="E155" s="51"/>
      <c r="F155" s="52" t="s">
        <v>106</v>
      </c>
      <c r="G155" s="53"/>
      <c r="H155" s="11"/>
      <c r="I155" s="49"/>
      <c r="L155" s="2"/>
    </row>
    <row r="156" spans="1:12" s="1" customFormat="1" x14ac:dyDescent="0.25">
      <c r="B156" s="45"/>
      <c r="C156" s="50">
        <v>0</v>
      </c>
      <c r="D156" s="50"/>
      <c r="E156" s="51"/>
      <c r="F156" s="52"/>
      <c r="G156" s="53"/>
      <c r="H156" s="12"/>
      <c r="I156" s="49"/>
      <c r="L156" s="2"/>
    </row>
    <row r="157" spans="1:12" s="1" customFormat="1" ht="34.5" customHeight="1" x14ac:dyDescent="0.25">
      <c r="B157" s="43" t="s">
        <v>22</v>
      </c>
      <c r="C157" s="46" t="s">
        <v>107</v>
      </c>
      <c r="D157" s="47"/>
      <c r="E157" s="47"/>
      <c r="F157" s="47"/>
      <c r="G157" s="48"/>
      <c r="H157" s="10"/>
      <c r="I157" s="49"/>
      <c r="L157" s="2"/>
    </row>
    <row r="158" spans="1:12" s="1" customFormat="1" ht="84" customHeight="1" x14ac:dyDescent="0.25">
      <c r="B158" s="44"/>
      <c r="C158" s="50">
        <v>4</v>
      </c>
      <c r="D158" s="50"/>
      <c r="E158" s="51"/>
      <c r="F158" s="52" t="s">
        <v>108</v>
      </c>
      <c r="G158" s="53"/>
      <c r="H158" s="11"/>
      <c r="I158" s="49"/>
      <c r="L158" s="2"/>
    </row>
    <row r="159" spans="1:12" s="1" customFormat="1" ht="53.25" customHeight="1" x14ac:dyDescent="0.25">
      <c r="B159" s="44"/>
      <c r="C159" s="50">
        <v>3</v>
      </c>
      <c r="D159" s="50"/>
      <c r="E159" s="51"/>
      <c r="F159" s="52" t="s">
        <v>109</v>
      </c>
      <c r="G159" s="53"/>
      <c r="H159" s="11"/>
      <c r="I159" s="49"/>
      <c r="L159" s="2"/>
    </row>
    <row r="160" spans="1:12" s="1" customFormat="1" x14ac:dyDescent="0.25">
      <c r="B160" s="45"/>
      <c r="C160" s="50">
        <v>0</v>
      </c>
      <c r="D160" s="50"/>
      <c r="E160" s="51"/>
      <c r="F160" s="52" t="s">
        <v>17</v>
      </c>
      <c r="G160" s="53"/>
      <c r="H160" s="12"/>
      <c r="I160" s="49"/>
      <c r="L160" s="2"/>
    </row>
  </sheetData>
  <mergeCells count="306">
    <mergeCell ref="B157:B160"/>
    <mergeCell ref="C157:G157"/>
    <mergeCell ref="I157:I160"/>
    <mergeCell ref="C158:E158"/>
    <mergeCell ref="F158:G158"/>
    <mergeCell ref="C159:E159"/>
    <mergeCell ref="F159:G159"/>
    <mergeCell ref="C160:E160"/>
    <mergeCell ref="F160:G160"/>
    <mergeCell ref="B154:B156"/>
    <mergeCell ref="C154:G154"/>
    <mergeCell ref="I154:I156"/>
    <mergeCell ref="C155:E155"/>
    <mergeCell ref="F155:G155"/>
    <mergeCell ref="C156:E156"/>
    <mergeCell ref="F156:G156"/>
    <mergeCell ref="B147:I147"/>
    <mergeCell ref="B150:B153"/>
    <mergeCell ref="C150:G150"/>
    <mergeCell ref="I150:I153"/>
    <mergeCell ref="C151:E151"/>
    <mergeCell ref="F151:G151"/>
    <mergeCell ref="C152:E152"/>
    <mergeCell ref="F152:G152"/>
    <mergeCell ref="C153:E153"/>
    <mergeCell ref="F153:G153"/>
    <mergeCell ref="C148:G148"/>
    <mergeCell ref="C149:G149"/>
    <mergeCell ref="B142:B145"/>
    <mergeCell ref="C142:G142"/>
    <mergeCell ref="I142:I145"/>
    <mergeCell ref="C143:E143"/>
    <mergeCell ref="F143:G143"/>
    <mergeCell ref="C144:E144"/>
    <mergeCell ref="F144:G144"/>
    <mergeCell ref="C145:E145"/>
    <mergeCell ref="F145:G145"/>
    <mergeCell ref="B135:I135"/>
    <mergeCell ref="B138:B141"/>
    <mergeCell ref="C138:G138"/>
    <mergeCell ref="I138:I141"/>
    <mergeCell ref="C139:E139"/>
    <mergeCell ref="F139:G139"/>
    <mergeCell ref="C140:E140"/>
    <mergeCell ref="F140:G140"/>
    <mergeCell ref="C141:E141"/>
    <mergeCell ref="F141:G141"/>
    <mergeCell ref="C136:G136"/>
    <mergeCell ref="C137:G137"/>
    <mergeCell ref="B130:B133"/>
    <mergeCell ref="C130:G130"/>
    <mergeCell ref="I130:I133"/>
    <mergeCell ref="C131:E131"/>
    <mergeCell ref="F131:G131"/>
    <mergeCell ref="C132:E132"/>
    <mergeCell ref="F132:G132"/>
    <mergeCell ref="C133:E133"/>
    <mergeCell ref="F133:G133"/>
    <mergeCell ref="B126:B129"/>
    <mergeCell ref="C126:G126"/>
    <mergeCell ref="I126:I129"/>
    <mergeCell ref="C127:E127"/>
    <mergeCell ref="F127:G127"/>
    <mergeCell ref="C128:E128"/>
    <mergeCell ref="F128:G128"/>
    <mergeCell ref="C129:E129"/>
    <mergeCell ref="F129:G129"/>
    <mergeCell ref="B119:I119"/>
    <mergeCell ref="B122:B125"/>
    <mergeCell ref="C122:G122"/>
    <mergeCell ref="I122:I125"/>
    <mergeCell ref="C123:E123"/>
    <mergeCell ref="F123:G123"/>
    <mergeCell ref="C124:E124"/>
    <mergeCell ref="F124:G124"/>
    <mergeCell ref="C125:E125"/>
    <mergeCell ref="F125:G125"/>
    <mergeCell ref="C120:G120"/>
    <mergeCell ref="C121:G121"/>
    <mergeCell ref="B114:B117"/>
    <mergeCell ref="C114:G114"/>
    <mergeCell ref="I114:I117"/>
    <mergeCell ref="C115:E115"/>
    <mergeCell ref="F115:G115"/>
    <mergeCell ref="C116:E116"/>
    <mergeCell ref="F116:G116"/>
    <mergeCell ref="C117:E117"/>
    <mergeCell ref="F117:G117"/>
    <mergeCell ref="C109:G109"/>
    <mergeCell ref="B110:B113"/>
    <mergeCell ref="C110:G110"/>
    <mergeCell ref="I110:I113"/>
    <mergeCell ref="C111:E111"/>
    <mergeCell ref="F111:G111"/>
    <mergeCell ref="C112:E112"/>
    <mergeCell ref="F112:G112"/>
    <mergeCell ref="C113:E113"/>
    <mergeCell ref="F113:G113"/>
    <mergeCell ref="B105:B108"/>
    <mergeCell ref="C105:G105"/>
    <mergeCell ref="I105:I108"/>
    <mergeCell ref="C106:E106"/>
    <mergeCell ref="F106:G106"/>
    <mergeCell ref="C107:E107"/>
    <mergeCell ref="F107:G107"/>
    <mergeCell ref="C108:E108"/>
    <mergeCell ref="F108:G108"/>
    <mergeCell ref="C100:G100"/>
    <mergeCell ref="B101:B104"/>
    <mergeCell ref="C101:G101"/>
    <mergeCell ref="I101:I104"/>
    <mergeCell ref="C102:E102"/>
    <mergeCell ref="F102:G102"/>
    <mergeCell ref="C103:E103"/>
    <mergeCell ref="F103:G103"/>
    <mergeCell ref="C104:E104"/>
    <mergeCell ref="F104:G104"/>
    <mergeCell ref="B96:B99"/>
    <mergeCell ref="C96:G96"/>
    <mergeCell ref="I96:I99"/>
    <mergeCell ref="C97:E97"/>
    <mergeCell ref="F97:G97"/>
    <mergeCell ref="C98:E98"/>
    <mergeCell ref="F98:G98"/>
    <mergeCell ref="C99:E99"/>
    <mergeCell ref="F99:G99"/>
    <mergeCell ref="B92:B95"/>
    <mergeCell ref="C92:G92"/>
    <mergeCell ref="I92:I95"/>
    <mergeCell ref="C93:E93"/>
    <mergeCell ref="F93:G93"/>
    <mergeCell ref="C94:E94"/>
    <mergeCell ref="F94:G94"/>
    <mergeCell ref="C95:E95"/>
    <mergeCell ref="F95:G95"/>
    <mergeCell ref="B85:I85"/>
    <mergeCell ref="C87:G87"/>
    <mergeCell ref="B88:B91"/>
    <mergeCell ref="C88:G88"/>
    <mergeCell ref="I88:I91"/>
    <mergeCell ref="C89:E89"/>
    <mergeCell ref="F89:G89"/>
    <mergeCell ref="C90:E90"/>
    <mergeCell ref="F90:G90"/>
    <mergeCell ref="C91:E91"/>
    <mergeCell ref="F91:G91"/>
    <mergeCell ref="C86:G86"/>
    <mergeCell ref="B80:B83"/>
    <mergeCell ref="C80:G80"/>
    <mergeCell ref="I80:I83"/>
    <mergeCell ref="C81:E81"/>
    <mergeCell ref="F81:G81"/>
    <mergeCell ref="C82:E82"/>
    <mergeCell ref="F82:G82"/>
    <mergeCell ref="C83:E83"/>
    <mergeCell ref="F83:G83"/>
    <mergeCell ref="B76:B79"/>
    <mergeCell ref="C76:G76"/>
    <mergeCell ref="I76:I79"/>
    <mergeCell ref="C77:E77"/>
    <mergeCell ref="F77:G77"/>
    <mergeCell ref="C78:E78"/>
    <mergeCell ref="F78:G78"/>
    <mergeCell ref="C79:E79"/>
    <mergeCell ref="F79:G79"/>
    <mergeCell ref="B72:B75"/>
    <mergeCell ref="C72:G72"/>
    <mergeCell ref="I72:I75"/>
    <mergeCell ref="C73:E73"/>
    <mergeCell ref="F73:G73"/>
    <mergeCell ref="C74:E74"/>
    <mergeCell ref="F74:G74"/>
    <mergeCell ref="C75:E75"/>
    <mergeCell ref="F75:G75"/>
    <mergeCell ref="B65:I65"/>
    <mergeCell ref="C67:G67"/>
    <mergeCell ref="B68:B71"/>
    <mergeCell ref="C68:G68"/>
    <mergeCell ref="I68:I71"/>
    <mergeCell ref="C69:E69"/>
    <mergeCell ref="F69:G69"/>
    <mergeCell ref="C70:E70"/>
    <mergeCell ref="F70:G70"/>
    <mergeCell ref="C71:E71"/>
    <mergeCell ref="F71:G71"/>
    <mergeCell ref="C66:G66"/>
    <mergeCell ref="B60:B63"/>
    <mergeCell ref="C60:G60"/>
    <mergeCell ref="I60:I63"/>
    <mergeCell ref="C61:E61"/>
    <mergeCell ref="F61:G61"/>
    <mergeCell ref="C62:E62"/>
    <mergeCell ref="F62:G62"/>
    <mergeCell ref="C63:E63"/>
    <mergeCell ref="F63:G63"/>
    <mergeCell ref="B56:B59"/>
    <mergeCell ref="C56:G56"/>
    <mergeCell ref="I56:I59"/>
    <mergeCell ref="C57:E57"/>
    <mergeCell ref="F57:G57"/>
    <mergeCell ref="C58:E58"/>
    <mergeCell ref="F58:G58"/>
    <mergeCell ref="C59:E59"/>
    <mergeCell ref="F59:G59"/>
    <mergeCell ref="B49:I49"/>
    <mergeCell ref="C51:G51"/>
    <mergeCell ref="B52:B55"/>
    <mergeCell ref="C52:G52"/>
    <mergeCell ref="I52:I55"/>
    <mergeCell ref="C53:E53"/>
    <mergeCell ref="F53:G53"/>
    <mergeCell ref="C54:E54"/>
    <mergeCell ref="F54:G54"/>
    <mergeCell ref="C55:E55"/>
    <mergeCell ref="F55:G55"/>
    <mergeCell ref="C50:G50"/>
    <mergeCell ref="B44:B47"/>
    <mergeCell ref="C44:G44"/>
    <mergeCell ref="I44:I47"/>
    <mergeCell ref="C45:E45"/>
    <mergeCell ref="F45:G45"/>
    <mergeCell ref="C46:E46"/>
    <mergeCell ref="F46:G46"/>
    <mergeCell ref="C47:E47"/>
    <mergeCell ref="F47:G47"/>
    <mergeCell ref="B40:B43"/>
    <mergeCell ref="C40:G40"/>
    <mergeCell ref="I40:I43"/>
    <mergeCell ref="C41:E41"/>
    <mergeCell ref="F41:G41"/>
    <mergeCell ref="C42:E42"/>
    <mergeCell ref="F42:G42"/>
    <mergeCell ref="C43:E43"/>
    <mergeCell ref="F43:G43"/>
    <mergeCell ref="B36:B39"/>
    <mergeCell ref="C36:G36"/>
    <mergeCell ref="I36:I39"/>
    <mergeCell ref="C37:E37"/>
    <mergeCell ref="F37:G37"/>
    <mergeCell ref="C38:E38"/>
    <mergeCell ref="F38:G38"/>
    <mergeCell ref="C39:E39"/>
    <mergeCell ref="F39:G39"/>
    <mergeCell ref="B32:B35"/>
    <mergeCell ref="C32:G32"/>
    <mergeCell ref="I32:I35"/>
    <mergeCell ref="C33:E33"/>
    <mergeCell ref="F33:G33"/>
    <mergeCell ref="C34:E34"/>
    <mergeCell ref="F34:G34"/>
    <mergeCell ref="C35:E35"/>
    <mergeCell ref="F35:G35"/>
    <mergeCell ref="B28:B31"/>
    <mergeCell ref="C28:G28"/>
    <mergeCell ref="I28:I31"/>
    <mergeCell ref="C29:E29"/>
    <mergeCell ref="F29:G29"/>
    <mergeCell ref="C30:E30"/>
    <mergeCell ref="F30:G30"/>
    <mergeCell ref="C31:E31"/>
    <mergeCell ref="F31:G31"/>
    <mergeCell ref="B21:I21"/>
    <mergeCell ref="C22:G22"/>
    <mergeCell ref="C23:G23"/>
    <mergeCell ref="B24:B27"/>
    <mergeCell ref="C24:G24"/>
    <mergeCell ref="I24:I27"/>
    <mergeCell ref="C25:E25"/>
    <mergeCell ref="F25:G25"/>
    <mergeCell ref="C26:E26"/>
    <mergeCell ref="F26:G26"/>
    <mergeCell ref="C27:E27"/>
    <mergeCell ref="F27:G27"/>
    <mergeCell ref="B16:B19"/>
    <mergeCell ref="C16:G16"/>
    <mergeCell ref="I16:I19"/>
    <mergeCell ref="C17:E17"/>
    <mergeCell ref="F17:G17"/>
    <mergeCell ref="C18:E18"/>
    <mergeCell ref="F18:G18"/>
    <mergeCell ref="C19:E19"/>
    <mergeCell ref="F19:G19"/>
    <mergeCell ref="B12:B15"/>
    <mergeCell ref="C12:G12"/>
    <mergeCell ref="B2:I2"/>
    <mergeCell ref="B3:I3"/>
    <mergeCell ref="B5:I5"/>
    <mergeCell ref="C6:G6"/>
    <mergeCell ref="C7:G7"/>
    <mergeCell ref="B8:B11"/>
    <mergeCell ref="C8:G8"/>
    <mergeCell ref="I8:I11"/>
    <mergeCell ref="C9:E9"/>
    <mergeCell ref="F9:G9"/>
    <mergeCell ref="G4:I4"/>
    <mergeCell ref="I12:I15"/>
    <mergeCell ref="C13:E13"/>
    <mergeCell ref="F13:G13"/>
    <mergeCell ref="C14:E14"/>
    <mergeCell ref="F14:G14"/>
    <mergeCell ref="C15:E15"/>
    <mergeCell ref="F15:G15"/>
    <mergeCell ref="C10:E10"/>
    <mergeCell ref="F10:G10"/>
    <mergeCell ref="C11:E11"/>
    <mergeCell ref="F11:G1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Sheet1!$B$5</xm:f>
          </x14:formula1>
          <xm:sqref>G4:I4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showGridLines="0" zoomScale="60" zoomScaleNormal="60" zoomScalePageLayoutView="80" workbookViewId="0">
      <selection activeCell="G42" sqref="G42"/>
    </sheetView>
  </sheetViews>
  <sheetFormatPr defaultRowHeight="15" x14ac:dyDescent="0.25"/>
  <cols>
    <col min="1" max="1" width="3.85546875" bestFit="1" customWidth="1"/>
    <col min="2" max="2" width="14.140625" customWidth="1"/>
    <col min="3" max="3" width="10.7109375" customWidth="1"/>
    <col min="5" max="5" width="15.7109375" customWidth="1"/>
    <col min="6" max="6" width="20.140625" customWidth="1"/>
    <col min="7" max="7" width="6.7109375" customWidth="1"/>
    <col min="8" max="9" width="7.7109375" customWidth="1"/>
  </cols>
  <sheetData>
    <row r="1" spans="1:9" ht="15.75" thickBot="1" x14ac:dyDescent="0.3">
      <c r="I1" s="21" t="s">
        <v>112</v>
      </c>
    </row>
    <row r="2" spans="1:9" ht="15.75" customHeight="1" x14ac:dyDescent="0.25">
      <c r="A2" s="120"/>
      <c r="B2" s="121"/>
      <c r="C2" s="126" t="s">
        <v>113</v>
      </c>
      <c r="D2" s="126"/>
      <c r="E2" s="126"/>
      <c r="F2" s="126"/>
      <c r="G2" s="126"/>
      <c r="H2" s="22"/>
      <c r="I2" s="23"/>
    </row>
    <row r="3" spans="1:9" ht="15.75" customHeight="1" x14ac:dyDescent="0.25">
      <c r="A3" s="122"/>
      <c r="B3" s="123"/>
      <c r="C3" s="127"/>
      <c r="D3" s="127"/>
      <c r="E3" s="127"/>
      <c r="F3" s="127"/>
      <c r="G3" s="127"/>
      <c r="H3" s="129" t="s">
        <v>114</v>
      </c>
      <c r="I3" s="130"/>
    </row>
    <row r="4" spans="1:9" ht="22.5" customHeight="1" x14ac:dyDescent="0.25">
      <c r="A4" s="122"/>
      <c r="B4" s="123"/>
      <c r="C4" s="127"/>
      <c r="D4" s="127"/>
      <c r="E4" s="127"/>
      <c r="F4" s="128"/>
      <c r="G4" s="128"/>
      <c r="H4" s="131" t="s">
        <v>115</v>
      </c>
      <c r="I4" s="132"/>
    </row>
    <row r="5" spans="1:9" ht="15.75" customHeight="1" x14ac:dyDescent="0.25">
      <c r="A5" s="122"/>
      <c r="B5" s="123"/>
      <c r="C5" s="24" t="s">
        <v>116</v>
      </c>
      <c r="D5" s="133" t="s">
        <v>117</v>
      </c>
      <c r="E5" s="134"/>
      <c r="F5" s="135">
        <f>'Audit Mandiri_IAU Opto'!G4</f>
        <v>0</v>
      </c>
      <c r="G5" s="136"/>
      <c r="H5" s="137" t="s">
        <v>118</v>
      </c>
      <c r="I5" s="138"/>
    </row>
    <row r="6" spans="1:9" ht="16.5" customHeight="1" thickBot="1" x14ac:dyDescent="0.3">
      <c r="A6" s="124"/>
      <c r="B6" s="125"/>
      <c r="C6" s="139" t="s">
        <v>119</v>
      </c>
      <c r="D6" s="139"/>
      <c r="E6" s="140" t="s">
        <v>120</v>
      </c>
      <c r="F6" s="141"/>
      <c r="G6" s="141"/>
      <c r="H6" s="125"/>
      <c r="I6" s="142"/>
    </row>
    <row r="7" spans="1:9" x14ac:dyDescent="0.25">
      <c r="A7" s="85"/>
      <c r="B7" s="85"/>
      <c r="C7" s="85"/>
      <c r="D7" s="85"/>
      <c r="E7" s="85"/>
      <c r="F7" s="85"/>
      <c r="G7" s="85"/>
      <c r="H7" s="85"/>
      <c r="I7" s="85"/>
    </row>
    <row r="8" spans="1:9" x14ac:dyDescent="0.25">
      <c r="A8" s="118" t="s">
        <v>121</v>
      </c>
      <c r="B8" s="118"/>
      <c r="C8" s="118"/>
      <c r="D8" s="118"/>
      <c r="E8" s="118"/>
      <c r="F8" s="118"/>
      <c r="G8" s="118"/>
      <c r="H8" s="118"/>
      <c r="I8" s="118"/>
    </row>
    <row r="9" spans="1:9" x14ac:dyDescent="0.25">
      <c r="A9" s="118" t="s">
        <v>122</v>
      </c>
      <c r="B9" s="118"/>
      <c r="C9" s="118"/>
      <c r="D9" s="118"/>
      <c r="E9" s="118"/>
      <c r="F9" s="118"/>
      <c r="G9" s="118"/>
      <c r="H9" s="118"/>
      <c r="I9" s="118"/>
    </row>
    <row r="10" spans="1:9" x14ac:dyDescent="0.25">
      <c r="A10" s="119" t="s">
        <v>123</v>
      </c>
      <c r="B10" s="119" t="s">
        <v>124</v>
      </c>
      <c r="C10" s="119"/>
      <c r="D10" s="119"/>
      <c r="E10" s="90" t="s">
        <v>125</v>
      </c>
      <c r="F10" s="90"/>
      <c r="G10" s="119" t="s">
        <v>126</v>
      </c>
      <c r="H10" s="90" t="s">
        <v>127</v>
      </c>
      <c r="I10" s="90"/>
    </row>
    <row r="11" spans="1:9" x14ac:dyDescent="0.25">
      <c r="A11" s="119"/>
      <c r="B11" s="119"/>
      <c r="C11" s="119"/>
      <c r="D11" s="119"/>
      <c r="E11" s="90"/>
      <c r="F11" s="90"/>
      <c r="G11" s="119"/>
      <c r="H11" s="90"/>
      <c r="I11" s="90"/>
    </row>
    <row r="12" spans="1:9" ht="164.1" customHeight="1" x14ac:dyDescent="0.25">
      <c r="A12" s="26" t="s">
        <v>128</v>
      </c>
      <c r="B12" s="91" t="str">
        <f>'Audit Mandiri_IAU Opto'!C8</f>
        <v>Bagaimana mekanisme penyusunan visi, misi, dan unggulan program studi dan alasannya?</v>
      </c>
      <c r="C12" s="91"/>
      <c r="D12" s="91"/>
      <c r="E12" s="89">
        <f>'Audit Mandiri_IAU Opto'!I8</f>
        <v>0</v>
      </c>
      <c r="F12" s="89"/>
      <c r="G12" s="27">
        <f>'Audit Mandiri_IAU Opto'!H8</f>
        <v>0</v>
      </c>
      <c r="H12" s="90" t="str">
        <f>IF(G12=4,"Mencapai",IF(G12=3,"Belum Mencapai","Tidak Mencapai"))</f>
        <v>Tidak Mencapai</v>
      </c>
      <c r="I12" s="90"/>
    </row>
    <row r="13" spans="1:9" ht="164.1" customHeight="1" x14ac:dyDescent="0.25">
      <c r="A13" s="26" t="s">
        <v>129</v>
      </c>
      <c r="B13" s="91" t="str">
        <f>'Audit Mandiri_IAU Opto'!C12</f>
        <v xml:space="preserve">Bagaimana visi, misi, tujuan, strategi dan unggulan disesuaikan dengan rencana strategis, penjaminan mutu, dan manajemen di program studi?
</v>
      </c>
      <c r="C13" s="91"/>
      <c r="D13" s="91"/>
      <c r="E13" s="89">
        <f>'Audit Mandiri_IAU Opto'!I12</f>
        <v>0</v>
      </c>
      <c r="F13" s="89"/>
      <c r="G13" s="27">
        <f>'Audit Mandiri_IAU Opto'!H12</f>
        <v>0</v>
      </c>
      <c r="H13" s="90" t="str">
        <f t="shared" ref="H13:H42" si="0">IF(G13=4,"Mencapai",IF(G13=3,"Belum Mencapai","Tidak Mencapai"))</f>
        <v>Tidak Mencapai</v>
      </c>
      <c r="I13" s="90"/>
    </row>
    <row r="14" spans="1:9" ht="164.1" customHeight="1" x14ac:dyDescent="0.25">
      <c r="A14" s="26" t="s">
        <v>130</v>
      </c>
      <c r="B14" s="91" t="str">
        <f>'Audit Mandiri_IAU Opto'!C16</f>
        <v>Bagaimana cara menyosialisasikan visi, misi, dan unggulan program studi, analisis hasil dan tindaklanjutnya?</v>
      </c>
      <c r="C14" s="91"/>
      <c r="D14" s="91"/>
      <c r="E14" s="89">
        <f>'Audit Mandiri_IAU Opto'!I16</f>
        <v>0</v>
      </c>
      <c r="F14" s="89"/>
      <c r="G14" s="27">
        <f>'Audit Mandiri_IAU Opto'!H16</f>
        <v>0</v>
      </c>
      <c r="H14" s="90" t="str">
        <f t="shared" si="0"/>
        <v>Tidak Mencapai</v>
      </c>
      <c r="I14" s="90"/>
    </row>
    <row r="15" spans="1:9" ht="231" customHeight="1" x14ac:dyDescent="0.25">
      <c r="A15" s="26" t="s">
        <v>131</v>
      </c>
      <c r="B15" s="91" t="str">
        <f>'Audit Mandiri_IAU Opto'!C24</f>
        <v xml:space="preserve">Bagaimana cara merancang dan mengembangkan capaian pembelajaran dan profil lulusan secara umum dan spesifik? </v>
      </c>
      <c r="C15" s="91"/>
      <c r="D15" s="91"/>
      <c r="E15" s="89">
        <f>'Audit Mandiri_IAU Opto'!I24</f>
        <v>0</v>
      </c>
      <c r="F15" s="89"/>
      <c r="G15" s="27">
        <f>'Audit Mandiri_IAU Opto'!H24</f>
        <v>0</v>
      </c>
      <c r="H15" s="90" t="str">
        <f t="shared" si="0"/>
        <v>Tidak Mencapai</v>
      </c>
      <c r="I15" s="90"/>
    </row>
    <row r="16" spans="1:9" ht="164.1" customHeight="1" x14ac:dyDescent="0.25">
      <c r="A16" s="26" t="s">
        <v>132</v>
      </c>
      <c r="B16" s="91" t="str">
        <f>'Audit Mandiri_IAU Opto'!C28</f>
        <v xml:space="preserve">Pendekatan apa yang digunakan dalam menyusun kurikulum dan bagaimana kesesuaiannya terhadap visi,  misi, dan unggulan? </v>
      </c>
      <c r="C16" s="91"/>
      <c r="D16" s="91"/>
      <c r="E16" s="89">
        <f>'Audit Mandiri_IAU Opto'!I28</f>
        <v>0</v>
      </c>
      <c r="F16" s="89"/>
      <c r="G16" s="27">
        <f>'Audit Mandiri_IAU Opto'!H28</f>
        <v>0</v>
      </c>
      <c r="H16" s="90" t="str">
        <f t="shared" si="0"/>
        <v>Tidak Mencapai</v>
      </c>
      <c r="I16" s="90"/>
    </row>
    <row r="17" spans="1:9" ht="164.1" customHeight="1" x14ac:dyDescent="0.25">
      <c r="A17" s="26" t="s">
        <v>133</v>
      </c>
      <c r="B17" s="91" t="str">
        <f>'Audit Mandiri_IAU Opto'!C32</f>
        <v xml:space="preserve">Bagaimana program studi menyediakan pengalaman belajar yang diperlukan mahasiswa untuk mencapai capaian pembelajaran?
</v>
      </c>
      <c r="C17" s="91"/>
      <c r="D17" s="91"/>
      <c r="E17" s="89">
        <f>'Audit Mandiri_IAU Opto'!I32</f>
        <v>0</v>
      </c>
      <c r="F17" s="89"/>
      <c r="G17" s="27">
        <f>'Audit Mandiri_IAU Opto'!H32</f>
        <v>0</v>
      </c>
      <c r="H17" s="90" t="str">
        <f t="shared" si="0"/>
        <v>Tidak Mencapai</v>
      </c>
      <c r="I17" s="90"/>
    </row>
    <row r="18" spans="1:9" ht="164.1" customHeight="1" x14ac:dyDescent="0.25">
      <c r="A18" s="26" t="s">
        <v>134</v>
      </c>
      <c r="B18" s="91" t="str">
        <f>'Audit Mandiri_IAU Opto'!C36</f>
        <v xml:space="preserve">Bagaimana memastikan capaian pembelajaran yang dipilih sesuai dengan konteks sosial dari wilayah program studi? </v>
      </c>
      <c r="C18" s="91"/>
      <c r="D18" s="91"/>
      <c r="E18" s="89">
        <f>'Audit Mandiri_IAU Opto'!I36</f>
        <v>0</v>
      </c>
      <c r="F18" s="89"/>
      <c r="G18" s="27">
        <f>'Audit Mandiri_IAU Opto'!H36</f>
        <v>0</v>
      </c>
      <c r="H18" s="90" t="str">
        <f t="shared" si="0"/>
        <v>Tidak Mencapai</v>
      </c>
      <c r="I18" s="90"/>
    </row>
    <row r="19" spans="1:9" ht="164.1" customHeight="1" x14ac:dyDescent="0.25">
      <c r="A19" s="26" t="s">
        <v>135</v>
      </c>
      <c r="B19" s="91" t="str">
        <f>'Audit Mandiri_IAU Opto'!C40</f>
        <v xml:space="preserve">Elemen apa saja dari bidang teknologi Optometri, dan kesehatan lainnya yang dimasukkan dalam kurikulum? Bagaimana pilihan yang dibuat dan waktu yang dialokasikan untuk elemen tersebut? </v>
      </c>
      <c r="C19" s="91"/>
      <c r="D19" s="91"/>
      <c r="E19" s="89">
        <f>'Audit Mandiri_IAU Opto'!I40</f>
        <v>0</v>
      </c>
      <c r="F19" s="89"/>
      <c r="G19" s="27">
        <f>'Audit Mandiri_IAU Opto'!H40</f>
        <v>0</v>
      </c>
      <c r="H19" s="90" t="str">
        <f t="shared" si="0"/>
        <v>Tidak Mencapai</v>
      </c>
      <c r="I19" s="90"/>
    </row>
    <row r="20" spans="1:9" ht="222.95" customHeight="1" x14ac:dyDescent="0.25">
      <c r="A20" s="26" t="s">
        <v>136</v>
      </c>
      <c r="B20" s="91" t="str">
        <f>'Audit Mandiri_IAU Opto'!C44</f>
        <v xml:space="preserve">Bagaimana PS menetapkan kelompok atau individu yang bertanggung jawab untuk memantau kesalahan mahasiswa dan keselamatan pasien di tingkat manajemen program vokasi dan layanan kesehatan? </v>
      </c>
      <c r="C20" s="91"/>
      <c r="D20" s="91"/>
      <c r="E20" s="89">
        <f>'Audit Mandiri_IAU Opto'!I44</f>
        <v>0</v>
      </c>
      <c r="F20" s="89"/>
      <c r="G20" s="27">
        <f>'Audit Mandiri_IAU Opto'!H44</f>
        <v>0</v>
      </c>
      <c r="H20" s="90" t="str">
        <f t="shared" si="0"/>
        <v>Tidak Mencapai</v>
      </c>
      <c r="I20" s="90"/>
    </row>
    <row r="21" spans="1:9" ht="164.1" customHeight="1" x14ac:dyDescent="0.25">
      <c r="A21" s="26" t="s">
        <v>137</v>
      </c>
      <c r="B21" s="91" t="str">
        <f>'Audit Mandiri_IAU Opto'!C52</f>
        <v xml:space="preserve">Bagaimana penilaian diintegrasikan dan dikoordinasikan pada berbagai capaian pembelajaran dan kurikulum?
</v>
      </c>
      <c r="C21" s="91"/>
      <c r="D21" s="91"/>
      <c r="E21" s="89">
        <f>'Audit Mandiri_IAU Opto'!I52</f>
        <v>0</v>
      </c>
      <c r="F21" s="89"/>
      <c r="G21" s="27">
        <f>'Audit Mandiri_IAU Opto'!H52</f>
        <v>0</v>
      </c>
      <c r="H21" s="90" t="str">
        <f t="shared" si="0"/>
        <v>Tidak Mencapai</v>
      </c>
      <c r="I21" s="90"/>
    </row>
    <row r="22" spans="1:9" ht="164.1" customHeight="1" x14ac:dyDescent="0.25">
      <c r="A22" s="26" t="s">
        <v>138</v>
      </c>
      <c r="B22" s="91" t="str">
        <f>'Audit Mandiri_IAU Opto'!C56</f>
        <v xml:space="preserve">Bagaimana standar (nilai kelulusan) ditetapkan pada ujian sumatif?
</v>
      </c>
      <c r="C22" s="91"/>
      <c r="D22" s="91"/>
      <c r="E22" s="89">
        <f>'Audit Mandiri_IAU Opto'!I56</f>
        <v>0</v>
      </c>
      <c r="F22" s="89"/>
      <c r="G22" s="27">
        <f>'Audit Mandiri_IAU Opto'!H56</f>
        <v>0</v>
      </c>
      <c r="H22" s="90" t="str">
        <f t="shared" si="0"/>
        <v>Tidak Mencapai</v>
      </c>
      <c r="I22" s="90"/>
    </row>
    <row r="23" spans="1:9" ht="164.1" customHeight="1" x14ac:dyDescent="0.25">
      <c r="A23" s="26" t="s">
        <v>139</v>
      </c>
      <c r="B23" s="91" t="str">
        <f>'Audit Mandiri_IAU Opto'!C60</f>
        <v xml:space="preserve">Bagaimana setiap penilaian dianalisis untuk memastikan kualitasnya?
</v>
      </c>
      <c r="C23" s="91"/>
      <c r="D23" s="91"/>
      <c r="E23" s="89">
        <f>'Audit Mandiri_IAU Opto'!I60</f>
        <v>0</v>
      </c>
      <c r="F23" s="89"/>
      <c r="G23" s="27">
        <f>'Audit Mandiri_IAU Opto'!H60</f>
        <v>0</v>
      </c>
      <c r="H23" s="90" t="str">
        <f t="shared" si="0"/>
        <v>Tidak Mencapai</v>
      </c>
      <c r="I23" s="90"/>
    </row>
    <row r="24" spans="1:9" ht="164.1" customHeight="1" x14ac:dyDescent="0.25">
      <c r="A24" s="26" t="s">
        <v>140</v>
      </c>
      <c r="B24" s="91" t="str">
        <f>'Audit Mandiri_IAU Opto'!C68</f>
        <v xml:space="preserve">Bagaimana kebijakan  seleksi  penerimaan maba disosialisasikan,dikaji dan direvisi secara berkala?
</v>
      </c>
      <c r="C24" s="91"/>
      <c r="D24" s="91"/>
      <c r="E24" s="89">
        <f>'Audit Mandiri_IAU Opto'!I68</f>
        <v>0</v>
      </c>
      <c r="F24" s="89"/>
      <c r="G24" s="27">
        <f>'Audit Mandiri_IAU Opto'!H68</f>
        <v>0</v>
      </c>
      <c r="H24" s="90" t="str">
        <f t="shared" si="0"/>
        <v>Tidak Mencapai</v>
      </c>
      <c r="I24" s="90"/>
    </row>
    <row r="25" spans="1:9" ht="164.1" customHeight="1" x14ac:dyDescent="0.25">
      <c r="A25" s="26" t="s">
        <v>141</v>
      </c>
      <c r="B25" s="91" t="str">
        <f>'Audit Mandiri_IAU Opto'!C72</f>
        <v xml:space="preserve">Bagaimana layanan dikaji secara berkala bersama perwakilan mahasiswa untuk memastikan relevansi, aksesibilitas, dan kerahasiaan? </v>
      </c>
      <c r="C25" s="91"/>
      <c r="D25" s="91"/>
      <c r="E25" s="89">
        <f>'Audit Mandiri_IAU Opto'!I72</f>
        <v>0</v>
      </c>
      <c r="F25" s="89"/>
      <c r="G25" s="27">
        <f>'Audit Mandiri_IAU Opto'!H72</f>
        <v>0</v>
      </c>
      <c r="H25" s="90" t="str">
        <f t="shared" si="0"/>
        <v>Tidak Mencapai</v>
      </c>
      <c r="I25" s="90"/>
    </row>
    <row r="26" spans="1:9" ht="164.1" customHeight="1" x14ac:dyDescent="0.25">
      <c r="A26" s="26" t="s">
        <v>142</v>
      </c>
      <c r="B26" s="91" t="str">
        <f>'Audit Mandiri_IAU Opto'!C76</f>
        <v xml:space="preserve">Bagaimana PS mengatur pelaksanaan dan tanggung jawab praktik lapangan bagi mahasiswa? </v>
      </c>
      <c r="C26" s="91"/>
      <c r="D26" s="91"/>
      <c r="E26" s="89">
        <f>'Audit Mandiri_IAU Opto'!I76</f>
        <v>0</v>
      </c>
      <c r="F26" s="89"/>
      <c r="G26" s="27">
        <f>'Audit Mandiri_IAU Opto'!H76</f>
        <v>0</v>
      </c>
      <c r="H26" s="90" t="str">
        <f t="shared" si="0"/>
        <v>Tidak Mencapai</v>
      </c>
      <c r="I26" s="90"/>
    </row>
    <row r="27" spans="1:9" ht="164.1" customHeight="1" x14ac:dyDescent="0.25">
      <c r="A27" s="26" t="s">
        <v>143</v>
      </c>
      <c r="B27" s="91" t="str">
        <f>'Audit Mandiri_IAU Opto'!C80</f>
        <v xml:space="preserve">Bagaimana UPPS/Prodi mencegah risiko yang membahayakan keselamatan mahasiswa?
</v>
      </c>
      <c r="C27" s="91"/>
      <c r="D27" s="91"/>
      <c r="E27" s="89">
        <f>'Audit Mandiri_IAU Opto'!I80</f>
        <v>0</v>
      </c>
      <c r="F27" s="89"/>
      <c r="G27" s="27">
        <f>'Audit Mandiri_IAU Opto'!H80</f>
        <v>0</v>
      </c>
      <c r="H27" s="90" t="str">
        <f t="shared" si="0"/>
        <v>Tidak Mencapai</v>
      </c>
      <c r="I27" s="90"/>
    </row>
    <row r="28" spans="1:9" ht="164.1" customHeight="1" x14ac:dyDescent="0.25">
      <c r="A28" s="26" t="s">
        <v>144</v>
      </c>
      <c r="B28" s="91" t="str">
        <f>'Audit Mandiri_IAU Opto'!C88</f>
        <v xml:space="preserve">Bagaimana PS menetapkan jumlah dan kualifikasi dosen agar selaras dengan rancangan, penerapan, dan penjaminan mutu kurikulum? </v>
      </c>
      <c r="C28" s="91"/>
      <c r="D28" s="91"/>
      <c r="E28" s="89">
        <f>'Audit Mandiri_IAU Opto'!I88</f>
        <v>0</v>
      </c>
      <c r="F28" s="89"/>
      <c r="G28" s="27">
        <f>'Audit Mandiri_IAU Opto'!H88</f>
        <v>0</v>
      </c>
      <c r="H28" s="90" t="str">
        <f t="shared" si="0"/>
        <v>Tidak Mencapai</v>
      </c>
      <c r="I28" s="90"/>
    </row>
    <row r="29" spans="1:9" ht="164.1" customHeight="1" x14ac:dyDescent="0.25">
      <c r="A29" s="26" t="s">
        <v>145</v>
      </c>
      <c r="B29" s="91" t="str">
        <f>'Audit Mandiri_IAU Opto'!C92</f>
        <v xml:space="preserve">Bagaimana PS menyiapkan dosen akademik dan pembimbing lapangan untuk melaksanakan kurikulum yang telah disusun? </v>
      </c>
      <c r="C29" s="91"/>
      <c r="D29" s="91"/>
      <c r="E29" s="89">
        <f>'Audit Mandiri_IAU Opto'!I92</f>
        <v>0</v>
      </c>
      <c r="F29" s="89"/>
      <c r="G29" s="27">
        <f>'Audit Mandiri_IAU Opto'!H92</f>
        <v>0</v>
      </c>
      <c r="H29" s="90" t="str">
        <f t="shared" si="0"/>
        <v>Tidak Mencapai</v>
      </c>
      <c r="I29" s="90"/>
    </row>
    <row r="30" spans="1:9" ht="164.1" customHeight="1" x14ac:dyDescent="0.25">
      <c r="A30" s="26" t="s">
        <v>146</v>
      </c>
      <c r="B30" s="91" t="str">
        <f>'Audit Mandiri_IAU Opto'!C96</f>
        <v>Bagaimana monitoring dan evaluasi kinerja tendik untuk meningkatkan kualitas layanan?</v>
      </c>
      <c r="C30" s="91"/>
      <c r="D30" s="91"/>
      <c r="E30" s="89">
        <f>'Audit Mandiri_IAU Opto'!I96</f>
        <v>0</v>
      </c>
      <c r="F30" s="89"/>
      <c r="G30" s="27">
        <f>'Audit Mandiri_IAU Opto'!H96</f>
        <v>0</v>
      </c>
      <c r="H30" s="90" t="str">
        <f t="shared" si="0"/>
        <v>Tidak Mencapai</v>
      </c>
      <c r="I30" s="90"/>
    </row>
    <row r="31" spans="1:9" ht="164.1" customHeight="1" x14ac:dyDescent="0.25">
      <c r="A31" s="26" t="s">
        <v>147</v>
      </c>
      <c r="B31" s="91" t="str">
        <f>'Audit Mandiri_IAU Opto'!C101</f>
        <v>Bagaimana program studi menjamin relevansi penelitian dosen dalam mendukung pencapaian visi misi dan unggulan program studi serta monitoring, evaluasi dan tindaklanjutnya?</v>
      </c>
      <c r="C31" s="91"/>
      <c r="D31" s="91"/>
      <c r="E31" s="89">
        <f>'Audit Mandiri_IAU Opto'!I101</f>
        <v>0</v>
      </c>
      <c r="F31" s="89"/>
      <c r="G31" s="27">
        <f>'Audit Mandiri_IAU Opto'!H101</f>
        <v>0</v>
      </c>
      <c r="H31" s="90" t="str">
        <f t="shared" si="0"/>
        <v>Tidak Mencapai</v>
      </c>
      <c r="I31" s="90"/>
    </row>
    <row r="32" spans="1:9" ht="164.1" customHeight="1" x14ac:dyDescent="0.25">
      <c r="A32" s="26" t="s">
        <v>148</v>
      </c>
      <c r="B32" s="91" t="str">
        <f>'Audit Mandiri_IAU Opto'!C105</f>
        <v>Bagaimana integrasi hasil penelitian dalam kegiatan pembelajaran?</v>
      </c>
      <c r="C32" s="91"/>
      <c r="D32" s="91"/>
      <c r="E32" s="89">
        <f>'Audit Mandiri_IAU Opto'!I105</f>
        <v>0</v>
      </c>
      <c r="F32" s="89"/>
      <c r="G32" s="27">
        <f>'Audit Mandiri_IAU Opto'!H105</f>
        <v>0</v>
      </c>
      <c r="H32" s="90" t="str">
        <f t="shared" si="0"/>
        <v>Tidak Mencapai</v>
      </c>
      <c r="I32" s="90"/>
    </row>
    <row r="33" spans="1:9" ht="164.1" customHeight="1" x14ac:dyDescent="0.25">
      <c r="A33" s="26" t="s">
        <v>149</v>
      </c>
      <c r="B33" s="91" t="str">
        <f>'Audit Mandiri_IAU Opto'!C110</f>
        <v xml:space="preserve">Bagaimana upaya Program studi menjamin relevansi Pengabdian Kepada Masyarakat (PkM) dosen dalam mendukung pencapaian visi misi dan keunggulan Program studi serta monitoring, evaluasi dan tindak lanjutnya? </v>
      </c>
      <c r="C33" s="91"/>
      <c r="D33" s="91"/>
      <c r="E33" s="89">
        <f>'Audit Mandiri_IAU Opto'!I110</f>
        <v>0</v>
      </c>
      <c r="F33" s="89"/>
      <c r="G33" s="27">
        <f>'Audit Mandiri_IAU Opto'!H110</f>
        <v>0</v>
      </c>
      <c r="H33" s="90" t="str">
        <f t="shared" si="0"/>
        <v>Tidak Mencapai</v>
      </c>
      <c r="I33" s="90"/>
    </row>
    <row r="34" spans="1:9" ht="164.1" customHeight="1" x14ac:dyDescent="0.25">
      <c r="A34" s="26" t="s">
        <v>150</v>
      </c>
      <c r="B34" s="91" t="str">
        <f>'Audit Mandiri_IAU Opto'!C114</f>
        <v>Bagaimana integrasi hasil PkM dalam kegiatan pembelajaran?</v>
      </c>
      <c r="C34" s="91"/>
      <c r="D34" s="91"/>
      <c r="E34" s="89">
        <f>'Audit Mandiri_IAU Opto'!I114</f>
        <v>0</v>
      </c>
      <c r="F34" s="89"/>
      <c r="G34" s="27">
        <f>'Audit Mandiri_IAU Opto'!H114</f>
        <v>0</v>
      </c>
      <c r="H34" s="90" t="str">
        <f t="shared" si="0"/>
        <v>Tidak Mencapai</v>
      </c>
      <c r="I34" s="90"/>
    </row>
    <row r="35" spans="1:9" ht="164.1" customHeight="1" x14ac:dyDescent="0.25">
      <c r="A35" s="26" t="s">
        <v>151</v>
      </c>
      <c r="B35" s="91" t="str">
        <f>'Audit Mandiri_IAU Opto'!C122</f>
        <v xml:space="preserve">Bagaimana UPPS menentukan kecukupan infrastruktur fisik (sarana dan prasarana) yang disediakan untuk pembelajaran teori dan praktik yang ditentukan dalam kurikulum? </v>
      </c>
      <c r="C35" s="91"/>
      <c r="D35" s="91"/>
      <c r="E35" s="89">
        <f>'Audit Mandiri_IAU Opto'!I122</f>
        <v>0</v>
      </c>
      <c r="F35" s="89"/>
      <c r="G35" s="27">
        <f>'Audit Mandiri_IAU Opto'!H122</f>
        <v>0</v>
      </c>
      <c r="H35" s="90" t="str">
        <f t="shared" si="0"/>
        <v>Tidak Mencapai</v>
      </c>
      <c r="I35" s="90"/>
    </row>
    <row r="36" spans="1:9" ht="164.1" customHeight="1" x14ac:dyDescent="0.25">
      <c r="A36" s="26" t="s">
        <v>152</v>
      </c>
      <c r="B36" s="91" t="str">
        <f>'Audit Mandiri_IAU Opto'!C126</f>
        <v xml:space="preserve">Bagaimana penggunaan skill’s lab (laboratorium keterampilan), pasien simulasi, dan pasien sebenarnya dalam memperoleh keterampilan klinik mahasiwa? </v>
      </c>
      <c r="C36" s="91"/>
      <c r="D36" s="91"/>
      <c r="E36" s="89">
        <f>'Audit Mandiri_IAU Opto'!I126</f>
        <v>0</v>
      </c>
      <c r="F36" s="89"/>
      <c r="G36" s="27">
        <f>'Audit Mandiri_IAU Opto'!H126</f>
        <v>0</v>
      </c>
      <c r="H36" s="90" t="str">
        <f t="shared" si="0"/>
        <v>Tidak Mencapai</v>
      </c>
      <c r="I36" s="90"/>
    </row>
    <row r="37" spans="1:9" ht="164.1" customHeight="1" x14ac:dyDescent="0.25">
      <c r="A37" s="26" t="s">
        <v>153</v>
      </c>
      <c r="B37" s="91" t="str">
        <f>'Audit Mandiri_IAU Opto'!C138</f>
        <v xml:space="preserve">Bagaimana sistem penjaminan mutu internal dilaksanakan di UPPS dan PS dan disosialisasikan? </v>
      </c>
      <c r="C37" s="91"/>
      <c r="D37" s="91"/>
      <c r="E37" s="89">
        <f>'Audit Mandiri_IAU Opto'!I138</f>
        <v>0</v>
      </c>
      <c r="F37" s="89"/>
      <c r="G37" s="27">
        <f>'Audit Mandiri_IAU Opto'!H138</f>
        <v>0</v>
      </c>
      <c r="H37" s="90" t="str">
        <f t="shared" si="0"/>
        <v>Tidak Mencapai</v>
      </c>
      <c r="I37" s="90"/>
    </row>
    <row r="38" spans="1:9" ht="164.1" customHeight="1" x14ac:dyDescent="0.25">
      <c r="A38" s="38" t="s">
        <v>154</v>
      </c>
      <c r="B38" s="91" t="str">
        <f>'Audit Mandiri_IAU Opto'!C142</f>
        <v>Bagaimana sistem penjaminan mutu digunakan untuk meningkatkan mutu tridharma perguruan tinggi?</v>
      </c>
      <c r="C38" s="91"/>
      <c r="D38" s="91"/>
      <c r="E38" s="89">
        <f>'Audit Mandiri_IAU Opto'!I142</f>
        <v>0</v>
      </c>
      <c r="F38" s="89"/>
      <c r="G38" s="27">
        <f>'Audit Mandiri_IAU Opto'!H142</f>
        <v>0</v>
      </c>
      <c r="H38" s="90" t="str">
        <f t="shared" si="0"/>
        <v>Tidak Mencapai</v>
      </c>
      <c r="I38" s="90"/>
    </row>
    <row r="39" spans="1:9" ht="164.1" customHeight="1" x14ac:dyDescent="0.25">
      <c r="A39" s="38" t="s">
        <v>246</v>
      </c>
      <c r="B39" s="91" t="str">
        <f>'Audit Mandiri_IAU Opto'!C150</f>
        <v xml:space="preserve">Bagaimana cara UPPS mengidentifikasi dan memitigasi risiko? 
</v>
      </c>
      <c r="C39" s="91"/>
      <c r="D39" s="91"/>
      <c r="E39" s="89">
        <f>'Audit Mandiri_IAU Opto'!I150</f>
        <v>0</v>
      </c>
      <c r="F39" s="89"/>
      <c r="G39" s="27">
        <f>'Audit Mandiri_IAU Opto'!H150</f>
        <v>0</v>
      </c>
      <c r="H39" s="90" t="str">
        <f t="shared" si="0"/>
        <v>Tidak Mencapai</v>
      </c>
      <c r="I39" s="90"/>
    </row>
    <row r="40" spans="1:9" ht="164.1" customHeight="1" x14ac:dyDescent="0.25">
      <c r="A40" s="38" t="s">
        <v>247</v>
      </c>
      <c r="B40" s="91" t="str">
        <f>'Audit Mandiri_IAU Opto'!C154</f>
        <v>Bagaimana cara mengidentifikasi dan memitigasi risiko di UPPS?</v>
      </c>
      <c r="C40" s="91"/>
      <c r="D40" s="91"/>
      <c r="E40" s="89">
        <f>'Audit Mandiri_IAU Opto'!I154</f>
        <v>0</v>
      </c>
      <c r="F40" s="89"/>
      <c r="G40" s="27">
        <f>'Audit Mandiri_IAU Opto'!H154</f>
        <v>0</v>
      </c>
      <c r="H40" s="90" t="str">
        <f t="shared" si="0"/>
        <v>Tidak Mencapai</v>
      </c>
      <c r="I40" s="90"/>
    </row>
    <row r="41" spans="1:9" ht="164.1" customHeight="1" x14ac:dyDescent="0.25">
      <c r="A41" s="38" t="s">
        <v>248</v>
      </c>
      <c r="B41" s="91" t="str">
        <f>'Audit Mandiri_IAU Opto'!C157</f>
        <v>Bagaimana UPPS menetapkan kebijakan tentang perwakilan mahasiswa dan partisipasi yang sesuai dalam proses akademik dan non akademik?</v>
      </c>
      <c r="C41" s="91"/>
      <c r="D41" s="91"/>
      <c r="E41" s="89">
        <f>'Audit Mandiri_IAU Opto'!I157</f>
        <v>0</v>
      </c>
      <c r="F41" s="89"/>
      <c r="G41" s="27">
        <f>'Audit Mandiri_IAU Opto'!H157</f>
        <v>0</v>
      </c>
      <c r="H41" s="90" t="str">
        <f t="shared" si="0"/>
        <v>Tidak Mencapai</v>
      </c>
      <c r="I41" s="90"/>
    </row>
    <row r="42" spans="1:9" ht="164.1" customHeight="1" x14ac:dyDescent="0.25">
      <c r="A42" s="38" t="s">
        <v>249</v>
      </c>
      <c r="B42" s="91">
        <f>'Audit Mandiri_IAU Opto'!C38</f>
        <v>3</v>
      </c>
      <c r="C42" s="91"/>
      <c r="D42" s="91"/>
      <c r="E42" s="89"/>
      <c r="F42" s="89"/>
      <c r="G42" s="27"/>
      <c r="H42" s="90" t="str">
        <f t="shared" si="0"/>
        <v>Tidak Mencapai</v>
      </c>
      <c r="I42" s="90"/>
    </row>
    <row r="43" spans="1:9" ht="15.75" thickBot="1" x14ac:dyDescent="0.3"/>
    <row r="44" spans="1:9" ht="15.75" thickBot="1" x14ac:dyDescent="0.3">
      <c r="A44" s="28" t="s">
        <v>155</v>
      </c>
      <c r="B44" s="29"/>
      <c r="C44" s="30" t="s">
        <v>156</v>
      </c>
      <c r="D44" s="29"/>
      <c r="E44" s="31" t="s">
        <v>157</v>
      </c>
      <c r="F44" s="32"/>
      <c r="G44" s="32"/>
      <c r="H44" s="32"/>
      <c r="I44" s="33"/>
    </row>
    <row r="45" spans="1:9" ht="15.75" thickBot="1" x14ac:dyDescent="0.3">
      <c r="A45" s="105">
        <v>3</v>
      </c>
      <c r="B45" s="106"/>
      <c r="C45" s="107"/>
      <c r="D45" s="108"/>
      <c r="E45" s="109" t="s">
        <v>158</v>
      </c>
      <c r="F45" s="110"/>
      <c r="G45" s="110"/>
      <c r="H45" s="110"/>
      <c r="I45" s="111"/>
    </row>
    <row r="46" spans="1:9" ht="15.75" thickBot="1" x14ac:dyDescent="0.3">
      <c r="A46" s="115" t="s">
        <v>159</v>
      </c>
      <c r="B46" s="116"/>
      <c r="C46" s="116"/>
      <c r="D46" s="117"/>
      <c r="E46" s="112"/>
      <c r="F46" s="113"/>
      <c r="G46" s="113"/>
      <c r="H46" s="113"/>
      <c r="I46" s="114"/>
    </row>
    <row r="47" spans="1:9" ht="69.95" customHeight="1" thickBot="1" x14ac:dyDescent="0.3">
      <c r="A47" s="92" t="s">
        <v>160</v>
      </c>
      <c r="B47" s="93"/>
      <c r="C47" s="93"/>
      <c r="D47" s="93"/>
      <c r="E47" s="102"/>
      <c r="F47" s="103"/>
      <c r="G47" s="103"/>
      <c r="H47" s="103"/>
      <c r="I47" s="104"/>
    </row>
    <row r="48" spans="1:9" ht="15.75" thickBot="1" x14ac:dyDescent="0.3">
      <c r="A48" s="96" t="s">
        <v>161</v>
      </c>
      <c r="B48" s="97"/>
      <c r="C48" s="97"/>
      <c r="D48" s="98"/>
      <c r="E48" s="96"/>
      <c r="F48" s="97"/>
      <c r="G48" s="97"/>
      <c r="H48" s="97"/>
      <c r="I48" s="98"/>
    </row>
    <row r="49" spans="1:9" ht="69.95" customHeight="1" thickBot="1" x14ac:dyDescent="0.3">
      <c r="A49" s="92" t="s">
        <v>162</v>
      </c>
      <c r="B49" s="93"/>
      <c r="C49" s="93"/>
      <c r="D49" s="93"/>
      <c r="E49" s="102"/>
      <c r="F49" s="103"/>
      <c r="G49" s="103"/>
      <c r="H49" s="103"/>
      <c r="I49" s="104"/>
    </row>
    <row r="50" spans="1:9" ht="15.75" thickBot="1" x14ac:dyDescent="0.3">
      <c r="A50" s="96" t="s">
        <v>161</v>
      </c>
      <c r="B50" s="97"/>
      <c r="C50" s="97"/>
      <c r="D50" s="98"/>
      <c r="E50" s="96"/>
      <c r="F50" s="97"/>
      <c r="G50" s="97"/>
      <c r="H50" s="97"/>
      <c r="I50" s="98"/>
    </row>
    <row r="51" spans="1:9" s="34" customFormat="1" ht="69.95" customHeight="1" thickBot="1" x14ac:dyDescent="0.3">
      <c r="A51" s="92" t="s">
        <v>163</v>
      </c>
      <c r="B51" s="93"/>
      <c r="C51" s="93"/>
      <c r="D51" s="93"/>
      <c r="E51" s="94"/>
      <c r="F51" s="93"/>
      <c r="G51" s="93"/>
      <c r="H51" s="93"/>
      <c r="I51" s="95"/>
    </row>
    <row r="52" spans="1:9" x14ac:dyDescent="0.25">
      <c r="A52" s="96" t="s">
        <v>161</v>
      </c>
      <c r="B52" s="97"/>
      <c r="C52" s="97"/>
      <c r="D52" s="98"/>
      <c r="E52" s="96"/>
      <c r="F52" s="97"/>
      <c r="G52" s="97"/>
      <c r="H52" s="97"/>
      <c r="I52" s="98"/>
    </row>
    <row r="54" spans="1:9" ht="35.1" customHeight="1" x14ac:dyDescent="0.25">
      <c r="A54" s="99" t="s">
        <v>164</v>
      </c>
      <c r="B54" s="100"/>
      <c r="C54" s="100"/>
      <c r="D54" s="100"/>
      <c r="E54" s="100"/>
      <c r="F54" s="100"/>
      <c r="G54" s="100"/>
      <c r="H54" s="100"/>
      <c r="I54" s="101"/>
    </row>
    <row r="55" spans="1:9" ht="24.95" customHeight="1" x14ac:dyDescent="0.25">
      <c r="A55" s="25"/>
      <c r="B55" s="25"/>
      <c r="C55" s="25"/>
      <c r="D55" s="25"/>
      <c r="E55" s="25"/>
      <c r="F55" s="25"/>
      <c r="G55" s="25"/>
      <c r="H55" s="25"/>
      <c r="I55" s="25"/>
    </row>
    <row r="56" spans="1:9" ht="24.95" customHeight="1" x14ac:dyDescent="0.25">
      <c r="C56" t="s">
        <v>165</v>
      </c>
      <c r="E56" s="35"/>
    </row>
    <row r="57" spans="1:9" ht="24.95" customHeight="1" x14ac:dyDescent="0.25">
      <c r="B57" s="85" t="s">
        <v>166</v>
      </c>
      <c r="C57" s="85"/>
      <c r="D57" s="85"/>
      <c r="E57" s="36"/>
    </row>
    <row r="59" spans="1:9" ht="24.95" customHeight="1" x14ac:dyDescent="0.25">
      <c r="C59" t="s">
        <v>167</v>
      </c>
      <c r="E59" s="35"/>
    </row>
    <row r="60" spans="1:9" ht="24.95" customHeight="1" x14ac:dyDescent="0.25">
      <c r="B60" s="85" t="s">
        <v>166</v>
      </c>
      <c r="C60" s="85"/>
      <c r="D60" s="85"/>
      <c r="E60" s="36"/>
    </row>
    <row r="62" spans="1:9" ht="24.95" customHeight="1" x14ac:dyDescent="0.25">
      <c r="C62" t="s">
        <v>168</v>
      </c>
      <c r="E62" s="35"/>
    </row>
    <row r="63" spans="1:9" ht="24.95" customHeight="1" x14ac:dyDescent="0.25">
      <c r="B63" s="85" t="s">
        <v>166</v>
      </c>
      <c r="C63" s="85"/>
      <c r="D63" s="85"/>
      <c r="E63" s="36"/>
    </row>
  </sheetData>
  <mergeCells count="131">
    <mergeCell ref="A2:B6"/>
    <mergeCell ref="C2:G4"/>
    <mergeCell ref="H3:I3"/>
    <mergeCell ref="H4:I4"/>
    <mergeCell ref="D5:E5"/>
    <mergeCell ref="F5:G5"/>
    <mergeCell ref="H5:I5"/>
    <mergeCell ref="C6:D6"/>
    <mergeCell ref="E6:G6"/>
    <mergeCell ref="H6:I6"/>
    <mergeCell ref="B12:D12"/>
    <mergeCell ref="E12:F12"/>
    <mergeCell ref="H12:I12"/>
    <mergeCell ref="B13:D13"/>
    <mergeCell ref="E13:F13"/>
    <mergeCell ref="H13:I13"/>
    <mergeCell ref="A7:I7"/>
    <mergeCell ref="A8:I8"/>
    <mergeCell ref="A9:I9"/>
    <mergeCell ref="A10:A11"/>
    <mergeCell ref="B10:D11"/>
    <mergeCell ref="E10:F11"/>
    <mergeCell ref="G10:G11"/>
    <mergeCell ref="H10:I11"/>
    <mergeCell ref="B16:D16"/>
    <mergeCell ref="E16:F16"/>
    <mergeCell ref="H16:I16"/>
    <mergeCell ref="B17:D17"/>
    <mergeCell ref="E17:F17"/>
    <mergeCell ref="H17:I17"/>
    <mergeCell ref="B14:D14"/>
    <mergeCell ref="E14:F14"/>
    <mergeCell ref="H14:I14"/>
    <mergeCell ref="B15:D15"/>
    <mergeCell ref="E15:F15"/>
    <mergeCell ref="H15:I15"/>
    <mergeCell ref="B20:D20"/>
    <mergeCell ref="E20:F20"/>
    <mergeCell ref="H20:I20"/>
    <mergeCell ref="B21:D21"/>
    <mergeCell ref="E21:F21"/>
    <mergeCell ref="H21:I21"/>
    <mergeCell ref="B18:D18"/>
    <mergeCell ref="E18:F18"/>
    <mergeCell ref="H18:I18"/>
    <mergeCell ref="B19:D19"/>
    <mergeCell ref="E19:F19"/>
    <mergeCell ref="H19:I19"/>
    <mergeCell ref="B24:D24"/>
    <mergeCell ref="E24:F24"/>
    <mergeCell ref="H24:I24"/>
    <mergeCell ref="B25:D25"/>
    <mergeCell ref="E25:F25"/>
    <mergeCell ref="H25:I25"/>
    <mergeCell ref="B22:D22"/>
    <mergeCell ref="E22:F22"/>
    <mergeCell ref="H22:I22"/>
    <mergeCell ref="B23:D23"/>
    <mergeCell ref="E23:F23"/>
    <mergeCell ref="H23:I23"/>
    <mergeCell ref="B28:D28"/>
    <mergeCell ref="E28:F28"/>
    <mergeCell ref="H28:I28"/>
    <mergeCell ref="B29:D29"/>
    <mergeCell ref="E29:F29"/>
    <mergeCell ref="H29:I29"/>
    <mergeCell ref="B26:D26"/>
    <mergeCell ref="E26:F26"/>
    <mergeCell ref="H26:I26"/>
    <mergeCell ref="B27:D27"/>
    <mergeCell ref="E27:F27"/>
    <mergeCell ref="H27:I27"/>
    <mergeCell ref="B32:D32"/>
    <mergeCell ref="E32:F32"/>
    <mergeCell ref="H32:I32"/>
    <mergeCell ref="B33:D33"/>
    <mergeCell ref="E33:F33"/>
    <mergeCell ref="H33:I33"/>
    <mergeCell ref="B30:D30"/>
    <mergeCell ref="E30:F30"/>
    <mergeCell ref="H30:I30"/>
    <mergeCell ref="B31:D31"/>
    <mergeCell ref="E31:F31"/>
    <mergeCell ref="H31:I31"/>
    <mergeCell ref="B36:D36"/>
    <mergeCell ref="E36:F36"/>
    <mergeCell ref="H36:I36"/>
    <mergeCell ref="B37:D37"/>
    <mergeCell ref="E37:F37"/>
    <mergeCell ref="H37:I37"/>
    <mergeCell ref="B34:D34"/>
    <mergeCell ref="E34:F34"/>
    <mergeCell ref="H34:I34"/>
    <mergeCell ref="B35:D35"/>
    <mergeCell ref="E35:F35"/>
    <mergeCell ref="H35:I35"/>
    <mergeCell ref="B38:D38"/>
    <mergeCell ref="E38:F38"/>
    <mergeCell ref="H38:I38"/>
    <mergeCell ref="A45:B45"/>
    <mergeCell ref="C45:D45"/>
    <mergeCell ref="E45:I46"/>
    <mergeCell ref="A46:D46"/>
    <mergeCell ref="B41:D41"/>
    <mergeCell ref="E41:F41"/>
    <mergeCell ref="H41:I41"/>
    <mergeCell ref="B42:D42"/>
    <mergeCell ref="E42:F42"/>
    <mergeCell ref="H42:I42"/>
    <mergeCell ref="A54:I54"/>
    <mergeCell ref="B57:D57"/>
    <mergeCell ref="B60:D60"/>
    <mergeCell ref="B63:D63"/>
    <mergeCell ref="B39:D39"/>
    <mergeCell ref="E39:F39"/>
    <mergeCell ref="H39:I39"/>
    <mergeCell ref="B40:D40"/>
    <mergeCell ref="E40:F40"/>
    <mergeCell ref="H40:I40"/>
    <mergeCell ref="A50:D50"/>
    <mergeCell ref="E50:I50"/>
    <mergeCell ref="A51:D51"/>
    <mergeCell ref="E51:I51"/>
    <mergeCell ref="A52:D52"/>
    <mergeCell ref="E52:I52"/>
    <mergeCell ref="A47:D47"/>
    <mergeCell ref="E47:I47"/>
    <mergeCell ref="A48:D48"/>
    <mergeCell ref="E48:I48"/>
    <mergeCell ref="A49:D49"/>
    <mergeCell ref="E49:I49"/>
  </mergeCells>
  <pageMargins left="0.45572916666666669" right="0.3255208333333333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 Mandiri_IAU LAMKES</vt:lpstr>
      <vt:lpstr>Sheet1</vt:lpstr>
      <vt:lpstr>Form 3 FarApt</vt:lpstr>
      <vt:lpstr>Audit Mandiri_IAU Opto</vt:lpstr>
      <vt:lpstr>Form 3 Opt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Irfan Tri Raharjo, SE</cp:lastModifiedBy>
  <cp:revision/>
  <dcterms:created xsi:type="dcterms:W3CDTF">2025-05-28T03:01:42Z</dcterms:created>
  <dcterms:modified xsi:type="dcterms:W3CDTF">2025-07-04T02:09:54Z</dcterms:modified>
  <cp:category/>
  <cp:contentStatus/>
</cp:coreProperties>
</file>